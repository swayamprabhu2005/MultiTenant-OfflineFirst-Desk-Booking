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anization" sheetId="1" state="visible" r:id="rId1"/>
    <sheet xmlns:r="http://schemas.openxmlformats.org/officeDocument/2006/relationships" name="Branches" sheetId="2" state="visible" r:id="rId2"/>
    <sheet xmlns:r="http://schemas.openxmlformats.org/officeDocument/2006/relationships" name="Buildings" sheetId="3" state="visible" r:id="rId3"/>
    <sheet xmlns:r="http://schemas.openxmlformats.org/officeDocument/2006/relationships" name="Floors" sheetId="4" state="visible" r:id="rId4"/>
    <sheet xmlns:r="http://schemas.openxmlformats.org/officeDocument/2006/relationships" name="Sections &amp; Cubicl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1F4E79"/>
      <sz val="14"/>
    </font>
    <font>
      <name val="Segoe UI"/>
      <i val="1"/>
      <color rgb="00595959"/>
      <sz val="10"/>
    </font>
    <font>
      <name val="Segoe UI"/>
      <b val="1"/>
      <color rgb="00FFFFFF"/>
      <sz val="10"/>
    </font>
    <font>
      <name val="Segoe UI"/>
      <b val="1"/>
      <color rgb="00002060"/>
      <sz val="10"/>
    </font>
    <font>
      <name val="Segoe UI"/>
      <b val="1"/>
      <sz val="10"/>
    </font>
    <font>
      <name val="Segoe UI"/>
      <sz val="10"/>
    </font>
    <font>
      <name val="Segoe UI"/>
      <i val="1"/>
      <color rgb="007F7F7F"/>
      <sz val="9"/>
    </font>
    <font>
      <name val="Segoe UI"/>
      <i val="1"/>
      <color rgb="0094A3B8"/>
      <sz val="10"/>
    </font>
  </fonts>
  <fills count="9">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F2F4F7"/>
        <bgColor rgb="00F2F4F7"/>
      </patternFill>
    </fill>
    <fill>
      <patternFill patternType="solid">
        <fgColor rgb="00FFF2CC"/>
        <bgColor rgb="00FFF2CC"/>
      </patternFill>
    </fill>
    <fill>
      <patternFill patternType="solid">
        <fgColor rgb="00D9D9D9"/>
        <bgColor rgb="00D9D9D9"/>
      </patternFill>
    </fill>
    <fill>
      <patternFill patternType="solid">
        <fgColor rgb="00FAFAFA"/>
        <bgColor rgb="00FAFAFA"/>
      </patternFill>
    </fill>
    <fill>
      <patternFill patternType="solid">
        <fgColor rgb="00E2E8F0"/>
        <bgColor rgb="00E2E8F0"/>
      </patternFill>
    </fill>
  </fills>
  <borders count="3">
    <border>
      <left/>
      <right/>
      <top/>
      <bottom/>
      <diagonal/>
    </border>
    <border>
      <left style="thin">
        <color rgb="00D9D9D9"/>
      </left>
      <right style="thin">
        <color rgb="00D9D9D9"/>
      </right>
      <top style="thin">
        <color rgb="00D9D9D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4" borderId="2" applyAlignment="1" pivotButton="0" quotePrefix="0" xfId="0">
      <alignment horizontal="center" vertical="center"/>
    </xf>
    <xf numFmtId="0" fontId="5" fillId="4" borderId="2" applyAlignment="1" pivotButton="0" quotePrefix="0" xfId="0">
      <alignment horizontal="left" vertical="center"/>
    </xf>
    <xf numFmtId="0" fontId="5" fillId="5" borderId="2" applyAlignment="1" pivotButton="0" quotePrefix="0" xfId="0">
      <alignment horizontal="center" vertical="center"/>
    </xf>
    <xf numFmtId="0" fontId="5" fillId="0" borderId="0" pivotButton="0" quotePrefix="0" xfId="0"/>
    <xf numFmtId="0" fontId="6" fillId="0" borderId="0" pivotButton="0" quotePrefix="0" xfId="0"/>
    <xf numFmtId="0" fontId="7" fillId="6" borderId="1" applyAlignment="1" pivotButton="0" quotePrefix="0" xfId="0">
      <alignment horizontal="center" vertical="center"/>
    </xf>
    <xf numFmtId="0" fontId="6" fillId="5" borderId="2" applyAlignment="1" pivotButton="0" quotePrefix="0" xfId="0">
      <alignment horizontal="left" vertical="center"/>
    </xf>
    <xf numFmtId="0" fontId="6" fillId="5" borderId="2" applyAlignment="1" pivotButton="0" quotePrefix="0" xfId="0">
      <alignment horizontal="center" vertical="center"/>
    </xf>
    <xf numFmtId="0" fontId="7" fillId="7" borderId="2" applyAlignment="1" pivotButton="0" quotePrefix="0" xfId="0">
      <alignment horizontal="right" vertical="center"/>
    </xf>
    <xf numFmtId="0" fontId="7" fillId="7" borderId="2" applyAlignment="1" pivotButton="0" quotePrefix="0" xfId="0">
      <alignment horizontal="center" vertical="center"/>
    </xf>
    <xf numFmtId="0" fontId="7" fillId="7" borderId="2" applyAlignment="1" pivotButton="0" quotePrefix="0" xfId="0">
      <alignment horizontal="left" vertical="center"/>
    </xf>
    <xf numFmtId="0" fontId="8" fillId="8" borderId="2" applyAlignment="1" pivotButton="0" quotePrefix="0" xfId="0">
      <alignment horizontal="center" vertical="center"/>
    </xf>
  </cellXfs>
  <cellStyles count="1">
    <cellStyle name="Normal" xfId="0" builtinId="0" hidden="0"/>
  </cellStyles>
  <dxfs count="2">
    <dxf>
      <font>
        <name val="Segoe UI"/>
        <sz val="10"/>
      </font>
      <fill>
        <patternFill patternType="solid">
          <fgColor rgb="00FFF2CC"/>
          <bgColor rgb="00FFF2CC"/>
        </patternFill>
      </fill>
    </dxf>
    <dxf>
      <font>
        <name val="Segoe UI"/>
        <i val="1"/>
        <color rgb="0094A3B8"/>
        <sz val="10"/>
      </font>
      <fill>
        <patternFill patternType="solid">
          <fgColor rgb="00E2E8F0"/>
          <b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24" customWidth="1" min="1" max="1"/>
    <col width="32" customWidth="1" min="2" max="2"/>
    <col width="36" customWidth="1" min="3" max="3"/>
  </cols>
  <sheetData>
    <row r="1">
      <c r="A1" s="1" t="inlineStr">
        <is>
          <t>Organization Workspace Configuration</t>
        </is>
      </c>
    </row>
    <row r="2">
      <c r="A2" s="2" t="inlineStr">
        <is>
          <t>Enter your Organization's number of branches below. The workbook will automatically configure subsequent sheets.</t>
        </is>
      </c>
    </row>
    <row r="4">
      <c r="A4" s="3" t="inlineStr">
        <is>
          <t>Organization ID</t>
        </is>
      </c>
      <c r="B4" s="3" t="inlineStr">
        <is>
          <t>Organization Name</t>
        </is>
      </c>
      <c r="C4" s="4" t="inlineStr">
        <is>
          <t>Number of Branches (Enter Count)</t>
        </is>
      </c>
    </row>
    <row r="5">
      <c r="A5" s="5" t="inlineStr">
        <is>
          <t>ORG-2026-001</t>
        </is>
      </c>
      <c r="B5" s="6" t="inlineStr">
        <is>
          <t>Acme Global Corporation</t>
        </is>
      </c>
      <c r="C5" s="7" t="n"/>
    </row>
    <row r="7">
      <c r="A7" s="8" t="inlineStr">
        <is>
          <t>Legend &amp; Guidelines:</t>
        </is>
      </c>
    </row>
    <row r="8">
      <c r="A8" s="9" t="inlineStr">
        <is>
          <t>• Yellow Cells: These are your required input fields. Enter your numbers and names here.</t>
        </is>
      </c>
    </row>
    <row r="9">
      <c r="A9" s="9" t="inlineStr">
        <is>
          <t>• Grey Cells: Automatic formula-generated fields. Do not manually edit.</t>
        </is>
      </c>
    </row>
    <row r="10">
      <c r="A10" s="9" t="inlineStr">
        <is>
          <t>• Flow: Sheet 1 (Org) -&gt; Sheet 2 (Branches) -&gt; Sheet 3 (Buildings) -&gt; Sheet 4 (Floors) -&gt; Sheet 5 (Sections &amp; Cubicles).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showGridLines="1" workbookViewId="0">
      <selection activeCell="A1" sqref="A1"/>
    </sheetView>
  </sheetViews>
  <sheetFormatPr baseColWidth="8" defaultRowHeight="15"/>
  <cols>
    <col width="18" customWidth="1" min="1" max="1"/>
    <col width="30" customWidth="1" min="2" max="2"/>
    <col width="26" customWidth="1" min="3" max="3"/>
    <col hidden="1" width="13" customWidth="1" min="4" max="4"/>
  </cols>
  <sheetData>
    <row r="1">
      <c r="A1" s="3" t="inlineStr">
        <is>
          <t>Branch ID</t>
        </is>
      </c>
      <c r="B1" s="4" t="inlineStr">
        <is>
          <t>Branch Name</t>
        </is>
      </c>
      <c r="C1" s="4" t="inlineStr">
        <is>
          <t>Number of Buildings</t>
        </is>
      </c>
      <c r="D1" s="10" t="inlineStr">
        <is>
          <t>[Helper] Cum Buildings</t>
        </is>
      </c>
    </row>
    <row r="2">
      <c r="A2" s="5">
        <f>IF(AND(ISNUMBER(Organization!$C$5), ROW()-1&lt;=Organization!$C$5), "BR"&amp;TEXT(ROW()-1, "000"), "")</f>
        <v/>
      </c>
      <c r="B2" s="11" t="n"/>
      <c r="C2" s="12" t="n"/>
      <c r="D2" s="13">
        <f>IF(A2="","",IF(ISNUMBER(C2),C2,0))</f>
        <v/>
      </c>
    </row>
    <row r="3">
      <c r="A3" s="5">
        <f>IF(AND(ISNUMBER(Organization!$C$5), ROW()-1&lt;=Organization!$C$5), "BR"&amp;TEXT(ROW()-1, "000"), "")</f>
        <v/>
      </c>
      <c r="B3" s="11" t="n"/>
      <c r="C3" s="12" t="n"/>
      <c r="D3" s="13">
        <f>IF(A3="","",D2+IF(ISNUMBER(C3),C3,0))</f>
        <v/>
      </c>
    </row>
    <row r="4">
      <c r="A4" s="5">
        <f>IF(AND(ISNUMBER(Organization!$C$5), ROW()-1&lt;=Organization!$C$5), "BR"&amp;TEXT(ROW()-1, "000"), "")</f>
        <v/>
      </c>
      <c r="B4" s="11" t="n"/>
      <c r="C4" s="12" t="n"/>
      <c r="D4" s="13">
        <f>IF(A4="","",D3+IF(ISNUMBER(C4),C4,0))</f>
        <v/>
      </c>
    </row>
    <row r="5">
      <c r="A5" s="5">
        <f>IF(AND(ISNUMBER(Organization!$C$5), ROW()-1&lt;=Organization!$C$5), "BR"&amp;TEXT(ROW()-1, "000"), "")</f>
        <v/>
      </c>
      <c r="B5" s="11" t="n"/>
      <c r="C5" s="12" t="n"/>
      <c r="D5" s="13">
        <f>IF(A5="","",D4+IF(ISNUMBER(C5),C5,0))</f>
        <v/>
      </c>
    </row>
    <row r="6">
      <c r="A6" s="5">
        <f>IF(AND(ISNUMBER(Organization!$C$5), ROW()-1&lt;=Organization!$C$5), "BR"&amp;TEXT(ROW()-1, "000"), "")</f>
        <v/>
      </c>
      <c r="B6" s="11" t="n"/>
      <c r="C6" s="12" t="n"/>
      <c r="D6" s="13">
        <f>IF(A6="","",D5+IF(ISNUMBER(C6),C6,0))</f>
        <v/>
      </c>
    </row>
    <row r="7">
      <c r="A7" s="5">
        <f>IF(AND(ISNUMBER(Organization!$C$5), ROW()-1&lt;=Organization!$C$5), "BR"&amp;TEXT(ROW()-1, "000"), "")</f>
        <v/>
      </c>
      <c r="B7" s="11" t="n"/>
      <c r="C7" s="12" t="n"/>
      <c r="D7" s="13">
        <f>IF(A7="","",D6+IF(ISNUMBER(C7),C7,0))</f>
        <v/>
      </c>
    </row>
    <row r="8">
      <c r="A8" s="5">
        <f>IF(AND(ISNUMBER(Organization!$C$5), ROW()-1&lt;=Organization!$C$5), "BR"&amp;TEXT(ROW()-1, "000"), "")</f>
        <v/>
      </c>
      <c r="B8" s="11" t="n"/>
      <c r="C8" s="12" t="n"/>
      <c r="D8" s="13">
        <f>IF(A8="","",D7+IF(ISNUMBER(C8),C8,0))</f>
        <v/>
      </c>
    </row>
    <row r="9">
      <c r="A9" s="5">
        <f>IF(AND(ISNUMBER(Organization!$C$5), ROW()-1&lt;=Organization!$C$5), "BR"&amp;TEXT(ROW()-1, "000"), "")</f>
        <v/>
      </c>
      <c r="B9" s="11" t="n"/>
      <c r="C9" s="12" t="n"/>
      <c r="D9" s="13">
        <f>IF(A9="","",D8+IF(ISNUMBER(C9),C9,0))</f>
        <v/>
      </c>
    </row>
    <row r="10">
      <c r="A10" s="5">
        <f>IF(AND(ISNUMBER(Organization!$C$5), ROW()-1&lt;=Organization!$C$5), "BR"&amp;TEXT(ROW()-1, "000"), "")</f>
        <v/>
      </c>
      <c r="B10" s="11" t="n"/>
      <c r="C10" s="12" t="n"/>
      <c r="D10" s="13">
        <f>IF(A10="","",D9+IF(ISNUMBER(C10),C10,0))</f>
        <v/>
      </c>
    </row>
    <row r="11">
      <c r="A11" s="5">
        <f>IF(AND(ISNUMBER(Organization!$C$5), ROW()-1&lt;=Organization!$C$5), "BR"&amp;TEXT(ROW()-1, "000"), "")</f>
        <v/>
      </c>
      <c r="B11" s="11" t="n"/>
      <c r="C11" s="12" t="n"/>
      <c r="D11" s="13">
        <f>IF(A11="","",D10+IF(ISNUMBER(C11),C11,0))</f>
        <v/>
      </c>
    </row>
    <row r="12">
      <c r="A12" s="5">
        <f>IF(AND(ISNUMBER(Organization!$C$5), ROW()-1&lt;=Organization!$C$5), "BR"&amp;TEXT(ROW()-1, "000"), "")</f>
        <v/>
      </c>
      <c r="B12" s="11" t="n"/>
      <c r="C12" s="12" t="n"/>
      <c r="D12" s="13">
        <f>IF(A12="","",D11+IF(ISNUMBER(C12),C12,0))</f>
        <v/>
      </c>
    </row>
    <row r="13">
      <c r="A13" s="5">
        <f>IF(AND(ISNUMBER(Organization!$C$5), ROW()-1&lt;=Organization!$C$5), "BR"&amp;TEXT(ROW()-1, "000"), "")</f>
        <v/>
      </c>
      <c r="B13" s="11" t="n"/>
      <c r="C13" s="12" t="n"/>
      <c r="D13" s="13">
        <f>IF(A13="","",D12+IF(ISNUMBER(C13),C13,0))</f>
        <v/>
      </c>
    </row>
    <row r="14">
      <c r="A14" s="5">
        <f>IF(AND(ISNUMBER(Organization!$C$5), ROW()-1&lt;=Organization!$C$5), "BR"&amp;TEXT(ROW()-1, "000"), "")</f>
        <v/>
      </c>
      <c r="B14" s="11" t="n"/>
      <c r="C14" s="12" t="n"/>
      <c r="D14" s="13">
        <f>IF(A14="","",D13+IF(ISNUMBER(C14),C14,0))</f>
        <v/>
      </c>
    </row>
    <row r="15">
      <c r="A15" s="5">
        <f>IF(AND(ISNUMBER(Organization!$C$5), ROW()-1&lt;=Organization!$C$5), "BR"&amp;TEXT(ROW()-1, "000"), "")</f>
        <v/>
      </c>
      <c r="B15" s="11" t="n"/>
      <c r="C15" s="12" t="n"/>
      <c r="D15" s="13">
        <f>IF(A15="","",D14+IF(ISNUMBER(C15),C15,0))</f>
        <v/>
      </c>
    </row>
    <row r="16">
      <c r="A16" s="5">
        <f>IF(AND(ISNUMBER(Organization!$C$5), ROW()-1&lt;=Organization!$C$5), "BR"&amp;TEXT(ROW()-1, "000"), "")</f>
        <v/>
      </c>
      <c r="B16" s="11" t="n"/>
      <c r="C16" s="12" t="n"/>
      <c r="D16" s="13">
        <f>IF(A16="","",D15+IF(ISNUMBER(C16),C16,0))</f>
        <v/>
      </c>
    </row>
    <row r="17">
      <c r="A17" s="5">
        <f>IF(AND(ISNUMBER(Organization!$C$5), ROW()-1&lt;=Organization!$C$5), "BR"&amp;TEXT(ROW()-1, "000"), "")</f>
        <v/>
      </c>
      <c r="B17" s="11" t="n"/>
      <c r="C17" s="12" t="n"/>
      <c r="D17" s="13">
        <f>IF(A17="","",D16+IF(ISNUMBER(C17),C17,0))</f>
        <v/>
      </c>
    </row>
    <row r="18">
      <c r="A18" s="5">
        <f>IF(AND(ISNUMBER(Organization!$C$5), ROW()-1&lt;=Organization!$C$5), "BR"&amp;TEXT(ROW()-1, "000"), "")</f>
        <v/>
      </c>
      <c r="B18" s="11" t="n"/>
      <c r="C18" s="12" t="n"/>
      <c r="D18" s="13">
        <f>IF(A18="","",D17+IF(ISNUMBER(C18),C18,0))</f>
        <v/>
      </c>
    </row>
    <row r="19">
      <c r="A19" s="5">
        <f>IF(AND(ISNUMBER(Organization!$C$5), ROW()-1&lt;=Organization!$C$5), "BR"&amp;TEXT(ROW()-1, "000"), "")</f>
        <v/>
      </c>
      <c r="B19" s="11" t="n"/>
      <c r="C19" s="12" t="n"/>
      <c r="D19" s="13">
        <f>IF(A19="","",D18+IF(ISNUMBER(C19),C19,0))</f>
        <v/>
      </c>
    </row>
    <row r="20">
      <c r="A20" s="5">
        <f>IF(AND(ISNUMBER(Organization!$C$5), ROW()-1&lt;=Organization!$C$5), "BR"&amp;TEXT(ROW()-1, "000"), "")</f>
        <v/>
      </c>
      <c r="B20" s="11" t="n"/>
      <c r="C20" s="12" t="n"/>
      <c r="D20" s="13">
        <f>IF(A20="","",D19+IF(ISNUMBER(C20),C20,0))</f>
        <v/>
      </c>
    </row>
    <row r="21">
      <c r="A21" s="5">
        <f>IF(AND(ISNUMBER(Organization!$C$5), ROW()-1&lt;=Organization!$C$5), "BR"&amp;TEXT(ROW()-1, "000"), "")</f>
        <v/>
      </c>
      <c r="B21" s="11" t="n"/>
      <c r="C21" s="12" t="n"/>
      <c r="D21" s="13">
        <f>IF(A21="","",D20+IF(ISNUMBER(C21),C21,0))</f>
        <v/>
      </c>
    </row>
    <row r="22">
      <c r="A22" s="5">
        <f>IF(AND(ISNUMBER(Organization!$C$5), ROW()-1&lt;=Organization!$C$5), "BR"&amp;TEXT(ROW()-1, "000"), "")</f>
        <v/>
      </c>
      <c r="B22" s="11" t="n"/>
      <c r="C22" s="12" t="n"/>
      <c r="D22" s="13">
        <f>IF(A22="","",D21+IF(ISNUMBER(C22),C22,0))</f>
        <v/>
      </c>
    </row>
    <row r="23">
      <c r="A23" s="5">
        <f>IF(AND(ISNUMBER(Organization!$C$5), ROW()-1&lt;=Organization!$C$5), "BR"&amp;TEXT(ROW()-1, "000"), "")</f>
        <v/>
      </c>
      <c r="B23" s="11" t="n"/>
      <c r="C23" s="12" t="n"/>
      <c r="D23" s="13">
        <f>IF(A23="","",D22+IF(ISNUMBER(C23),C23,0))</f>
        <v/>
      </c>
    </row>
    <row r="24">
      <c r="A24" s="5">
        <f>IF(AND(ISNUMBER(Organization!$C$5), ROW()-1&lt;=Organization!$C$5), "BR"&amp;TEXT(ROW()-1, "000"), "")</f>
        <v/>
      </c>
      <c r="B24" s="11" t="n"/>
      <c r="C24" s="12" t="n"/>
      <c r="D24" s="13">
        <f>IF(A24="","",D23+IF(ISNUMBER(C24),C24,0))</f>
        <v/>
      </c>
    </row>
    <row r="25">
      <c r="A25" s="5">
        <f>IF(AND(ISNUMBER(Organization!$C$5), ROW()-1&lt;=Organization!$C$5), "BR"&amp;TEXT(ROW()-1, "000"), "")</f>
        <v/>
      </c>
      <c r="B25" s="11" t="n"/>
      <c r="C25" s="12" t="n"/>
      <c r="D25" s="13">
        <f>IF(A25="","",D24+IF(ISNUMBER(C25),C25,0))</f>
        <v/>
      </c>
    </row>
    <row r="26">
      <c r="A26" s="5">
        <f>IF(AND(ISNUMBER(Organization!$C$5), ROW()-1&lt;=Organization!$C$5), "BR"&amp;TEXT(ROW()-1, "000"), "")</f>
        <v/>
      </c>
      <c r="B26" s="11" t="n"/>
      <c r="C26" s="12" t="n"/>
      <c r="D26" s="13">
        <f>IF(A26="","",D25+IF(ISNUMBER(C26),C26,0))</f>
        <v/>
      </c>
    </row>
    <row r="27">
      <c r="A27" s="5">
        <f>IF(AND(ISNUMBER(Organization!$C$5), ROW()-1&lt;=Organization!$C$5), "BR"&amp;TEXT(ROW()-1, "000"), "")</f>
        <v/>
      </c>
      <c r="B27" s="11" t="n"/>
      <c r="C27" s="12" t="n"/>
      <c r="D27" s="13">
        <f>IF(A27="","",D26+IF(ISNUMBER(C27),C27,0))</f>
        <v/>
      </c>
    </row>
    <row r="28">
      <c r="A28" s="5">
        <f>IF(AND(ISNUMBER(Organization!$C$5), ROW()-1&lt;=Organization!$C$5), "BR"&amp;TEXT(ROW()-1, "000"), "")</f>
        <v/>
      </c>
      <c r="B28" s="11" t="n"/>
      <c r="C28" s="12" t="n"/>
      <c r="D28" s="13">
        <f>IF(A28="","",D27+IF(ISNUMBER(C28),C28,0))</f>
        <v/>
      </c>
    </row>
    <row r="29">
      <c r="A29" s="5">
        <f>IF(AND(ISNUMBER(Organization!$C$5), ROW()-1&lt;=Organization!$C$5), "BR"&amp;TEXT(ROW()-1, "000"), "")</f>
        <v/>
      </c>
      <c r="B29" s="11" t="n"/>
      <c r="C29" s="12" t="n"/>
      <c r="D29" s="13">
        <f>IF(A29="","",D28+IF(ISNUMBER(C29),C29,0))</f>
        <v/>
      </c>
    </row>
    <row r="30">
      <c r="A30" s="5">
        <f>IF(AND(ISNUMBER(Organization!$C$5), ROW()-1&lt;=Organization!$C$5), "BR"&amp;TEXT(ROW()-1, "000"), "")</f>
        <v/>
      </c>
      <c r="B30" s="11" t="n"/>
      <c r="C30" s="12" t="n"/>
      <c r="D30" s="13">
        <f>IF(A30="","",D29+IF(ISNUMBER(C30),C30,0))</f>
        <v/>
      </c>
    </row>
    <row r="31">
      <c r="A31" s="5">
        <f>IF(AND(ISNUMBER(Organization!$C$5), ROW()-1&lt;=Organization!$C$5), "BR"&amp;TEXT(ROW()-1, "000"), "")</f>
        <v/>
      </c>
      <c r="B31" s="11" t="n"/>
      <c r="C31" s="12" t="n"/>
      <c r="D31" s="13">
        <f>IF(A31="","",D30+IF(ISNUMBER(C31),C31,0))</f>
        <v/>
      </c>
    </row>
    <row r="32">
      <c r="A32" s="5">
        <f>IF(AND(ISNUMBER(Organization!$C$5), ROW()-1&lt;=Organization!$C$5), "BR"&amp;TEXT(ROW()-1, "000"), "")</f>
        <v/>
      </c>
      <c r="B32" s="11" t="n"/>
      <c r="C32" s="12" t="n"/>
      <c r="D32" s="13">
        <f>IF(A32="","",D31+IF(ISNUMBER(C32),C32,0))</f>
        <v/>
      </c>
    </row>
    <row r="33">
      <c r="A33" s="5">
        <f>IF(AND(ISNUMBER(Organization!$C$5), ROW()-1&lt;=Organization!$C$5), "BR"&amp;TEXT(ROW()-1, "000"), "")</f>
        <v/>
      </c>
      <c r="B33" s="11" t="n"/>
      <c r="C33" s="12" t="n"/>
      <c r="D33" s="13">
        <f>IF(A33="","",D32+IF(ISNUMBER(C33),C33,0))</f>
        <v/>
      </c>
    </row>
    <row r="34">
      <c r="A34" s="5">
        <f>IF(AND(ISNUMBER(Organization!$C$5), ROW()-1&lt;=Organization!$C$5), "BR"&amp;TEXT(ROW()-1, "000"), "")</f>
        <v/>
      </c>
      <c r="B34" s="11" t="n"/>
      <c r="C34" s="12" t="n"/>
      <c r="D34" s="13">
        <f>IF(A34="","",D33+IF(ISNUMBER(C34),C34,0))</f>
        <v/>
      </c>
    </row>
    <row r="35">
      <c r="A35" s="5">
        <f>IF(AND(ISNUMBER(Organization!$C$5), ROW()-1&lt;=Organization!$C$5), "BR"&amp;TEXT(ROW()-1, "000"), "")</f>
        <v/>
      </c>
      <c r="B35" s="11" t="n"/>
      <c r="C35" s="12" t="n"/>
      <c r="D35" s="13">
        <f>IF(A35="","",D34+IF(ISNUMBER(C35),C35,0))</f>
        <v/>
      </c>
    </row>
    <row r="36">
      <c r="A36" s="5">
        <f>IF(AND(ISNUMBER(Organization!$C$5), ROW()-1&lt;=Organization!$C$5), "BR"&amp;TEXT(ROW()-1, "000"), "")</f>
        <v/>
      </c>
      <c r="B36" s="11" t="n"/>
      <c r="C36" s="12" t="n"/>
      <c r="D36" s="13">
        <f>IF(A36="","",D35+IF(ISNUMBER(C36),C36,0))</f>
        <v/>
      </c>
    </row>
    <row r="37">
      <c r="A37" s="5">
        <f>IF(AND(ISNUMBER(Organization!$C$5), ROW()-1&lt;=Organization!$C$5), "BR"&amp;TEXT(ROW()-1, "000"), "")</f>
        <v/>
      </c>
      <c r="B37" s="11" t="n"/>
      <c r="C37" s="12" t="n"/>
      <c r="D37" s="13">
        <f>IF(A37="","",D36+IF(ISNUMBER(C37),C37,0))</f>
        <v/>
      </c>
    </row>
    <row r="38">
      <c r="A38" s="5">
        <f>IF(AND(ISNUMBER(Organization!$C$5), ROW()-1&lt;=Organization!$C$5), "BR"&amp;TEXT(ROW()-1, "000"), "")</f>
        <v/>
      </c>
      <c r="B38" s="11" t="n"/>
      <c r="C38" s="12" t="n"/>
      <c r="D38" s="13">
        <f>IF(A38="","",D37+IF(ISNUMBER(C38),C38,0))</f>
        <v/>
      </c>
    </row>
    <row r="39">
      <c r="A39" s="5">
        <f>IF(AND(ISNUMBER(Organization!$C$5), ROW()-1&lt;=Organization!$C$5), "BR"&amp;TEXT(ROW()-1, "000"), "")</f>
        <v/>
      </c>
      <c r="B39" s="11" t="n"/>
      <c r="C39" s="12" t="n"/>
      <c r="D39" s="13">
        <f>IF(A39="","",D38+IF(ISNUMBER(C39),C39,0))</f>
        <v/>
      </c>
    </row>
    <row r="40">
      <c r="A40" s="5">
        <f>IF(AND(ISNUMBER(Organization!$C$5), ROW()-1&lt;=Organization!$C$5), "BR"&amp;TEXT(ROW()-1, "000"), "")</f>
        <v/>
      </c>
      <c r="B40" s="11" t="n"/>
      <c r="C40" s="12" t="n"/>
      <c r="D40" s="13">
        <f>IF(A40="","",D39+IF(ISNUMBER(C40),C40,0))</f>
        <v/>
      </c>
    </row>
    <row r="41">
      <c r="A41" s="5">
        <f>IF(AND(ISNUMBER(Organization!$C$5), ROW()-1&lt;=Organization!$C$5), "BR"&amp;TEXT(ROW()-1, "000"), "")</f>
        <v/>
      </c>
      <c r="B41" s="11" t="n"/>
      <c r="C41" s="12" t="n"/>
      <c r="D41" s="13">
        <f>IF(A41="","",D40+IF(ISNUMBER(C41),C41,0))</f>
        <v/>
      </c>
    </row>
    <row r="42">
      <c r="A42" s="5">
        <f>IF(AND(ISNUMBER(Organization!$C$5), ROW()-1&lt;=Organization!$C$5), "BR"&amp;TEXT(ROW()-1, "000"), "")</f>
        <v/>
      </c>
      <c r="B42" s="11" t="n"/>
      <c r="C42" s="12" t="n"/>
      <c r="D42" s="13">
        <f>IF(A42="","",D41+IF(ISNUMBER(C42),C42,0))</f>
        <v/>
      </c>
    </row>
    <row r="43">
      <c r="A43" s="5">
        <f>IF(AND(ISNUMBER(Organization!$C$5), ROW()-1&lt;=Organization!$C$5), "BR"&amp;TEXT(ROW()-1, "000"), "")</f>
        <v/>
      </c>
      <c r="B43" s="11" t="n"/>
      <c r="C43" s="12" t="n"/>
      <c r="D43" s="13">
        <f>IF(A43="","",D42+IF(ISNUMBER(C43),C43,0))</f>
        <v/>
      </c>
    </row>
    <row r="44">
      <c r="A44" s="5">
        <f>IF(AND(ISNUMBER(Organization!$C$5), ROW()-1&lt;=Organization!$C$5), "BR"&amp;TEXT(ROW()-1, "000"), "")</f>
        <v/>
      </c>
      <c r="B44" s="11" t="n"/>
      <c r="C44" s="12" t="n"/>
      <c r="D44" s="13">
        <f>IF(A44="","",D43+IF(ISNUMBER(C44),C44,0))</f>
        <v/>
      </c>
    </row>
    <row r="45">
      <c r="A45" s="5">
        <f>IF(AND(ISNUMBER(Organization!$C$5), ROW()-1&lt;=Organization!$C$5), "BR"&amp;TEXT(ROW()-1, "000"), "")</f>
        <v/>
      </c>
      <c r="B45" s="11" t="n"/>
      <c r="C45" s="12" t="n"/>
      <c r="D45" s="13">
        <f>IF(A45="","",D44+IF(ISNUMBER(C45),C45,0))</f>
        <v/>
      </c>
    </row>
    <row r="46">
      <c r="A46" s="5">
        <f>IF(AND(ISNUMBER(Organization!$C$5), ROW()-1&lt;=Organization!$C$5), "BR"&amp;TEXT(ROW()-1, "000"), "")</f>
        <v/>
      </c>
      <c r="B46" s="11" t="n"/>
      <c r="C46" s="12" t="n"/>
      <c r="D46" s="13">
        <f>IF(A46="","",D45+IF(ISNUMBER(C46),C46,0))</f>
        <v/>
      </c>
    </row>
    <row r="47">
      <c r="A47" s="5">
        <f>IF(AND(ISNUMBER(Organization!$C$5), ROW()-1&lt;=Organization!$C$5), "BR"&amp;TEXT(ROW()-1, "000"), "")</f>
        <v/>
      </c>
      <c r="B47" s="11" t="n"/>
      <c r="C47" s="12" t="n"/>
      <c r="D47" s="13">
        <f>IF(A47="","",D46+IF(ISNUMBER(C47),C47,0))</f>
        <v/>
      </c>
    </row>
    <row r="48">
      <c r="A48" s="5">
        <f>IF(AND(ISNUMBER(Organization!$C$5), ROW()-1&lt;=Organization!$C$5), "BR"&amp;TEXT(ROW()-1, "000"), "")</f>
        <v/>
      </c>
      <c r="B48" s="11" t="n"/>
      <c r="C48" s="12" t="n"/>
      <c r="D48" s="13">
        <f>IF(A48="","",D47+IF(ISNUMBER(C48),C48,0))</f>
        <v/>
      </c>
    </row>
    <row r="49">
      <c r="A49" s="5">
        <f>IF(AND(ISNUMBER(Organization!$C$5), ROW()-1&lt;=Organization!$C$5), "BR"&amp;TEXT(ROW()-1, "000"), "")</f>
        <v/>
      </c>
      <c r="B49" s="11" t="n"/>
      <c r="C49" s="12" t="n"/>
      <c r="D49" s="13">
        <f>IF(A49="","",D48+IF(ISNUMBER(C49),C49,0))</f>
        <v/>
      </c>
    </row>
    <row r="50">
      <c r="A50" s="5">
        <f>IF(AND(ISNUMBER(Organization!$C$5), ROW()-1&lt;=Organization!$C$5), "BR"&amp;TEXT(ROW()-1, "000"), "")</f>
        <v/>
      </c>
      <c r="B50" s="11" t="n"/>
      <c r="C50" s="12" t="n"/>
      <c r="D50" s="13">
        <f>IF(A50="","",D49+IF(ISNUMBER(C50),C50,0))</f>
        <v/>
      </c>
    </row>
    <row r="51">
      <c r="A51" s="5">
        <f>IF(AND(ISNUMBER(Organization!$C$5), ROW()-1&lt;=Organization!$C$5), "BR"&amp;TEXT(ROW()-1, "000"), "")</f>
        <v/>
      </c>
      <c r="B51" s="11" t="n"/>
      <c r="C51" s="12" t="n"/>
      <c r="D51" s="13">
        <f>IF(A51="","",D50+IF(ISNUMBER(C51),C51,0))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showGridLines="1" workbookViewId="0">
      <selection activeCell="A1" sqref="A1"/>
    </sheetView>
  </sheetViews>
  <sheetFormatPr baseColWidth="8" defaultRowHeight="15"/>
  <cols>
    <col width="26" customWidth="1" min="1" max="1"/>
    <col width="18" customWidth="1" min="2" max="2"/>
    <col width="30" customWidth="1" min="3" max="3"/>
    <col width="22" customWidth="1" min="4" max="4"/>
    <col hidden="1" width="13" customWidth="1" min="5" max="5"/>
    <col hidden="1" width="13" customWidth="1" min="6" max="6"/>
    <col hidden="1" width="13" customWidth="1" min="7" max="7"/>
  </cols>
  <sheetData>
    <row r="1">
      <c r="A1" s="3" t="inlineStr">
        <is>
          <t>Branch Name</t>
        </is>
      </c>
      <c r="B1" s="3" t="inlineStr">
        <is>
          <t>Building ID</t>
        </is>
      </c>
      <c r="C1" s="4" t="inlineStr">
        <is>
          <t>Building Name</t>
        </is>
      </c>
      <c r="D1" s="4" t="inlineStr">
        <is>
          <t>Number of Floors</t>
        </is>
      </c>
      <c r="E1" s="10" t="inlineStr">
        <is>
          <t>[Helper] Branch ID</t>
        </is>
      </c>
      <c r="F1" s="10" t="inlineStr">
        <is>
          <t>[Helper] Real Branch Name</t>
        </is>
      </c>
      <c r="G1" s="10" t="inlineStr">
        <is>
          <t>[Helper] Cum Floors</t>
        </is>
      </c>
    </row>
    <row r="2">
      <c r="A2" s="6">
        <f>IF(F2="","",F2)</f>
        <v/>
      </c>
      <c r="B2" s="5">
        <f>IF(F2="","", "BLD"&amp;TEXT(ROW()-1, "000"))</f>
        <v/>
      </c>
      <c r="C2" s="11" t="n"/>
      <c r="D2" s="12" t="n"/>
      <c r="E2" s="14">
        <f>IF(F2="","", INDEX(Branches!$A$2:$A$51, IFERROR(MATCH(ROW()-1-0.0001, Branches!$D$2:$D$51, 1), 0)+1))</f>
        <v/>
      </c>
      <c r="F2" s="15">
        <f>IF(ROW()-1&gt;SUM(Branches!$C$2:$C$51), "", INDEX(Branches!$B$2:$B$51, IFERROR(MATCH(ROW()-1-0.0001, Branches!$D$2:$D$51, 1), 0)+1))</f>
        <v/>
      </c>
      <c r="G2" s="13">
        <f>IF(B2="","",IF(ISNUMBER(D2),D2,0))</f>
        <v/>
      </c>
    </row>
    <row r="3">
      <c r="A3" s="6">
        <f>IF(F3="","",IF(F3=F2,"",F3))</f>
        <v/>
      </c>
      <c r="B3" s="5">
        <f>IF(F3="","", "BLD"&amp;TEXT(ROW()-1, "000"))</f>
        <v/>
      </c>
      <c r="C3" s="11" t="n"/>
      <c r="D3" s="12" t="n"/>
      <c r="E3" s="14">
        <f>IF(F3="","", INDEX(Branches!$A$2:$A$51, IFERROR(MATCH(ROW()-1-0.0001, Branches!$D$2:$D$51, 1), 0)+1))</f>
        <v/>
      </c>
      <c r="F3" s="15">
        <f>IF(ROW()-1&gt;SUM(Branches!$C$2:$C$51), "", INDEX(Branches!$B$2:$B$51, IFERROR(MATCH(ROW()-1-0.0001, Branches!$D$2:$D$51, 1), 0)+1))</f>
        <v/>
      </c>
      <c r="G3" s="13">
        <f>IF(B3="","",G2+IF(ISNUMBER(D3),D3,0))</f>
        <v/>
      </c>
    </row>
    <row r="4">
      <c r="A4" s="6">
        <f>IF(F4="","",IF(F4=F3,"",F4))</f>
        <v/>
      </c>
      <c r="B4" s="5">
        <f>IF(F4="","", "BLD"&amp;TEXT(ROW()-1, "000"))</f>
        <v/>
      </c>
      <c r="C4" s="11" t="n"/>
      <c r="D4" s="12" t="n"/>
      <c r="E4" s="14">
        <f>IF(F4="","", INDEX(Branches!$A$2:$A$51, IFERROR(MATCH(ROW()-1-0.0001, Branches!$D$2:$D$51, 1), 0)+1))</f>
        <v/>
      </c>
      <c r="F4" s="15">
        <f>IF(ROW()-1&gt;SUM(Branches!$C$2:$C$51), "", INDEX(Branches!$B$2:$B$51, IFERROR(MATCH(ROW()-1-0.0001, Branches!$D$2:$D$51, 1), 0)+1))</f>
        <v/>
      </c>
      <c r="G4" s="13">
        <f>IF(B4="","",G3+IF(ISNUMBER(D4),D4,0))</f>
        <v/>
      </c>
    </row>
    <row r="5">
      <c r="A5" s="6">
        <f>IF(F5="","",IF(F5=F4,"",F5))</f>
        <v/>
      </c>
      <c r="B5" s="5">
        <f>IF(F5="","", "BLD"&amp;TEXT(ROW()-1, "000"))</f>
        <v/>
      </c>
      <c r="C5" s="11" t="n"/>
      <c r="D5" s="12" t="n"/>
      <c r="E5" s="14">
        <f>IF(F5="","", INDEX(Branches!$A$2:$A$51, IFERROR(MATCH(ROW()-1-0.0001, Branches!$D$2:$D$51, 1), 0)+1))</f>
        <v/>
      </c>
      <c r="F5" s="15">
        <f>IF(ROW()-1&gt;SUM(Branches!$C$2:$C$51), "", INDEX(Branches!$B$2:$B$51, IFERROR(MATCH(ROW()-1-0.0001, Branches!$D$2:$D$51, 1), 0)+1))</f>
        <v/>
      </c>
      <c r="G5" s="13">
        <f>IF(B5="","",G4+IF(ISNUMBER(D5),D5,0))</f>
        <v/>
      </c>
    </row>
    <row r="6">
      <c r="A6" s="6">
        <f>IF(F6="","",IF(F6=F5,"",F6))</f>
        <v/>
      </c>
      <c r="B6" s="5">
        <f>IF(F6="","", "BLD"&amp;TEXT(ROW()-1, "000"))</f>
        <v/>
      </c>
      <c r="C6" s="11" t="n"/>
      <c r="D6" s="12" t="n"/>
      <c r="E6" s="14">
        <f>IF(F6="","", INDEX(Branches!$A$2:$A$51, IFERROR(MATCH(ROW()-1-0.0001, Branches!$D$2:$D$51, 1), 0)+1))</f>
        <v/>
      </c>
      <c r="F6" s="15">
        <f>IF(ROW()-1&gt;SUM(Branches!$C$2:$C$51), "", INDEX(Branches!$B$2:$B$51, IFERROR(MATCH(ROW()-1-0.0001, Branches!$D$2:$D$51, 1), 0)+1))</f>
        <v/>
      </c>
      <c r="G6" s="13">
        <f>IF(B6="","",G5+IF(ISNUMBER(D6),D6,0))</f>
        <v/>
      </c>
    </row>
    <row r="7">
      <c r="A7" s="6">
        <f>IF(F7="","",IF(F7=F6,"",F7))</f>
        <v/>
      </c>
      <c r="B7" s="5">
        <f>IF(F7="","", "BLD"&amp;TEXT(ROW()-1, "000"))</f>
        <v/>
      </c>
      <c r="C7" s="11" t="n"/>
      <c r="D7" s="12" t="n"/>
      <c r="E7" s="14">
        <f>IF(F7="","", INDEX(Branches!$A$2:$A$51, IFERROR(MATCH(ROW()-1-0.0001, Branches!$D$2:$D$51, 1), 0)+1))</f>
        <v/>
      </c>
      <c r="F7" s="15">
        <f>IF(ROW()-1&gt;SUM(Branches!$C$2:$C$51), "", INDEX(Branches!$B$2:$B$51, IFERROR(MATCH(ROW()-1-0.0001, Branches!$D$2:$D$51, 1), 0)+1))</f>
        <v/>
      </c>
      <c r="G7" s="13">
        <f>IF(B7="","",G6+IF(ISNUMBER(D7),D7,0))</f>
        <v/>
      </c>
    </row>
    <row r="8">
      <c r="A8" s="6">
        <f>IF(F8="","",IF(F8=F7,"",F8))</f>
        <v/>
      </c>
      <c r="B8" s="5">
        <f>IF(F8="","", "BLD"&amp;TEXT(ROW()-1, "000"))</f>
        <v/>
      </c>
      <c r="C8" s="11" t="n"/>
      <c r="D8" s="12" t="n"/>
      <c r="E8" s="14">
        <f>IF(F8="","", INDEX(Branches!$A$2:$A$51, IFERROR(MATCH(ROW()-1-0.0001, Branches!$D$2:$D$51, 1), 0)+1))</f>
        <v/>
      </c>
      <c r="F8" s="15">
        <f>IF(ROW()-1&gt;SUM(Branches!$C$2:$C$51), "", INDEX(Branches!$B$2:$B$51, IFERROR(MATCH(ROW()-1-0.0001, Branches!$D$2:$D$51, 1), 0)+1))</f>
        <v/>
      </c>
      <c r="G8" s="13">
        <f>IF(B8="","",G7+IF(ISNUMBER(D8),D8,0))</f>
        <v/>
      </c>
    </row>
    <row r="9">
      <c r="A9" s="6">
        <f>IF(F9="","",IF(F9=F8,"",F9))</f>
        <v/>
      </c>
      <c r="B9" s="5">
        <f>IF(F9="","", "BLD"&amp;TEXT(ROW()-1, "000"))</f>
        <v/>
      </c>
      <c r="C9" s="11" t="n"/>
      <c r="D9" s="12" t="n"/>
      <c r="E9" s="14">
        <f>IF(F9="","", INDEX(Branches!$A$2:$A$51, IFERROR(MATCH(ROW()-1-0.0001, Branches!$D$2:$D$51, 1), 0)+1))</f>
        <v/>
      </c>
      <c r="F9" s="15">
        <f>IF(ROW()-1&gt;SUM(Branches!$C$2:$C$51), "", INDEX(Branches!$B$2:$B$51, IFERROR(MATCH(ROW()-1-0.0001, Branches!$D$2:$D$51, 1), 0)+1))</f>
        <v/>
      </c>
      <c r="G9" s="13">
        <f>IF(B9="","",G8+IF(ISNUMBER(D9),D9,0))</f>
        <v/>
      </c>
    </row>
    <row r="10">
      <c r="A10" s="6">
        <f>IF(F10="","",IF(F10=F9,"",F10))</f>
        <v/>
      </c>
      <c r="B10" s="5">
        <f>IF(F10="","", "BLD"&amp;TEXT(ROW()-1, "000"))</f>
        <v/>
      </c>
      <c r="C10" s="11" t="n"/>
      <c r="D10" s="12" t="n"/>
      <c r="E10" s="14">
        <f>IF(F10="","", INDEX(Branches!$A$2:$A$51, IFERROR(MATCH(ROW()-1-0.0001, Branches!$D$2:$D$51, 1), 0)+1))</f>
        <v/>
      </c>
      <c r="F10" s="15">
        <f>IF(ROW()-1&gt;SUM(Branches!$C$2:$C$51), "", INDEX(Branches!$B$2:$B$51, IFERROR(MATCH(ROW()-1-0.0001, Branches!$D$2:$D$51, 1), 0)+1))</f>
        <v/>
      </c>
      <c r="G10" s="13">
        <f>IF(B10="","",G9+IF(ISNUMBER(D10),D10,0))</f>
        <v/>
      </c>
    </row>
    <row r="11">
      <c r="A11" s="6">
        <f>IF(F11="","",IF(F11=F10,"",F11))</f>
        <v/>
      </c>
      <c r="B11" s="5">
        <f>IF(F11="","", "BLD"&amp;TEXT(ROW()-1, "000"))</f>
        <v/>
      </c>
      <c r="C11" s="11" t="n"/>
      <c r="D11" s="12" t="n"/>
      <c r="E11" s="14">
        <f>IF(F11="","", INDEX(Branches!$A$2:$A$51, IFERROR(MATCH(ROW()-1-0.0001, Branches!$D$2:$D$51, 1), 0)+1))</f>
        <v/>
      </c>
      <c r="F11" s="15">
        <f>IF(ROW()-1&gt;SUM(Branches!$C$2:$C$51), "", INDEX(Branches!$B$2:$B$51, IFERROR(MATCH(ROW()-1-0.0001, Branches!$D$2:$D$51, 1), 0)+1))</f>
        <v/>
      </c>
      <c r="G11" s="13">
        <f>IF(B11="","",G10+IF(ISNUMBER(D11),D11,0))</f>
        <v/>
      </c>
    </row>
    <row r="12">
      <c r="A12" s="6">
        <f>IF(F12="","",IF(F12=F11,"",F12))</f>
        <v/>
      </c>
      <c r="B12" s="5">
        <f>IF(F12="","", "BLD"&amp;TEXT(ROW()-1, "000"))</f>
        <v/>
      </c>
      <c r="C12" s="11" t="n"/>
      <c r="D12" s="12" t="n"/>
      <c r="E12" s="14">
        <f>IF(F12="","", INDEX(Branches!$A$2:$A$51, IFERROR(MATCH(ROW()-1-0.0001, Branches!$D$2:$D$51, 1), 0)+1))</f>
        <v/>
      </c>
      <c r="F12" s="15">
        <f>IF(ROW()-1&gt;SUM(Branches!$C$2:$C$51), "", INDEX(Branches!$B$2:$B$51, IFERROR(MATCH(ROW()-1-0.0001, Branches!$D$2:$D$51, 1), 0)+1))</f>
        <v/>
      </c>
      <c r="G12" s="13">
        <f>IF(B12="","",G11+IF(ISNUMBER(D12),D12,0))</f>
        <v/>
      </c>
    </row>
    <row r="13">
      <c r="A13" s="6">
        <f>IF(F13="","",IF(F13=F12,"",F13))</f>
        <v/>
      </c>
      <c r="B13" s="5">
        <f>IF(F13="","", "BLD"&amp;TEXT(ROW()-1, "000"))</f>
        <v/>
      </c>
      <c r="C13" s="11" t="n"/>
      <c r="D13" s="12" t="n"/>
      <c r="E13" s="14">
        <f>IF(F13="","", INDEX(Branches!$A$2:$A$51, IFERROR(MATCH(ROW()-1-0.0001, Branches!$D$2:$D$51, 1), 0)+1))</f>
        <v/>
      </c>
      <c r="F13" s="15">
        <f>IF(ROW()-1&gt;SUM(Branches!$C$2:$C$51), "", INDEX(Branches!$B$2:$B$51, IFERROR(MATCH(ROW()-1-0.0001, Branches!$D$2:$D$51, 1), 0)+1))</f>
        <v/>
      </c>
      <c r="G13" s="13">
        <f>IF(B13="","",G12+IF(ISNUMBER(D13),D13,0))</f>
        <v/>
      </c>
    </row>
    <row r="14">
      <c r="A14" s="6">
        <f>IF(F14="","",IF(F14=F13,"",F14))</f>
        <v/>
      </c>
      <c r="B14" s="5">
        <f>IF(F14="","", "BLD"&amp;TEXT(ROW()-1, "000"))</f>
        <v/>
      </c>
      <c r="C14" s="11" t="n"/>
      <c r="D14" s="12" t="n"/>
      <c r="E14" s="14">
        <f>IF(F14="","", INDEX(Branches!$A$2:$A$51, IFERROR(MATCH(ROW()-1-0.0001, Branches!$D$2:$D$51, 1), 0)+1))</f>
        <v/>
      </c>
      <c r="F14" s="15">
        <f>IF(ROW()-1&gt;SUM(Branches!$C$2:$C$51), "", INDEX(Branches!$B$2:$B$51, IFERROR(MATCH(ROW()-1-0.0001, Branches!$D$2:$D$51, 1), 0)+1))</f>
        <v/>
      </c>
      <c r="G14" s="13">
        <f>IF(B14="","",G13+IF(ISNUMBER(D14),D14,0))</f>
        <v/>
      </c>
    </row>
    <row r="15">
      <c r="A15" s="6">
        <f>IF(F15="","",IF(F15=F14,"",F15))</f>
        <v/>
      </c>
      <c r="B15" s="5">
        <f>IF(F15="","", "BLD"&amp;TEXT(ROW()-1, "000"))</f>
        <v/>
      </c>
      <c r="C15" s="11" t="n"/>
      <c r="D15" s="12" t="n"/>
      <c r="E15" s="14">
        <f>IF(F15="","", INDEX(Branches!$A$2:$A$51, IFERROR(MATCH(ROW()-1-0.0001, Branches!$D$2:$D$51, 1), 0)+1))</f>
        <v/>
      </c>
      <c r="F15" s="15">
        <f>IF(ROW()-1&gt;SUM(Branches!$C$2:$C$51), "", INDEX(Branches!$B$2:$B$51, IFERROR(MATCH(ROW()-1-0.0001, Branches!$D$2:$D$51, 1), 0)+1))</f>
        <v/>
      </c>
      <c r="G15" s="13">
        <f>IF(B15="","",G14+IF(ISNUMBER(D15),D15,0))</f>
        <v/>
      </c>
    </row>
    <row r="16">
      <c r="A16" s="6">
        <f>IF(F16="","",IF(F16=F15,"",F16))</f>
        <v/>
      </c>
      <c r="B16" s="5">
        <f>IF(F16="","", "BLD"&amp;TEXT(ROW()-1, "000"))</f>
        <v/>
      </c>
      <c r="C16" s="11" t="n"/>
      <c r="D16" s="12" t="n"/>
      <c r="E16" s="14">
        <f>IF(F16="","", INDEX(Branches!$A$2:$A$51, IFERROR(MATCH(ROW()-1-0.0001, Branches!$D$2:$D$51, 1), 0)+1))</f>
        <v/>
      </c>
      <c r="F16" s="15">
        <f>IF(ROW()-1&gt;SUM(Branches!$C$2:$C$51), "", INDEX(Branches!$B$2:$B$51, IFERROR(MATCH(ROW()-1-0.0001, Branches!$D$2:$D$51, 1), 0)+1))</f>
        <v/>
      </c>
      <c r="G16" s="13">
        <f>IF(B16="","",G15+IF(ISNUMBER(D16),D16,0))</f>
        <v/>
      </c>
    </row>
    <row r="17">
      <c r="A17" s="6">
        <f>IF(F17="","",IF(F17=F16,"",F17))</f>
        <v/>
      </c>
      <c r="B17" s="5">
        <f>IF(F17="","", "BLD"&amp;TEXT(ROW()-1, "000"))</f>
        <v/>
      </c>
      <c r="C17" s="11" t="n"/>
      <c r="D17" s="12" t="n"/>
      <c r="E17" s="14">
        <f>IF(F17="","", INDEX(Branches!$A$2:$A$51, IFERROR(MATCH(ROW()-1-0.0001, Branches!$D$2:$D$51, 1), 0)+1))</f>
        <v/>
      </c>
      <c r="F17" s="15">
        <f>IF(ROW()-1&gt;SUM(Branches!$C$2:$C$51), "", INDEX(Branches!$B$2:$B$51, IFERROR(MATCH(ROW()-1-0.0001, Branches!$D$2:$D$51, 1), 0)+1))</f>
        <v/>
      </c>
      <c r="G17" s="13">
        <f>IF(B17="","",G16+IF(ISNUMBER(D17),D17,0))</f>
        <v/>
      </c>
    </row>
    <row r="18">
      <c r="A18" s="6">
        <f>IF(F18="","",IF(F18=F17,"",F18))</f>
        <v/>
      </c>
      <c r="B18" s="5">
        <f>IF(F18="","", "BLD"&amp;TEXT(ROW()-1, "000"))</f>
        <v/>
      </c>
      <c r="C18" s="11" t="n"/>
      <c r="D18" s="12" t="n"/>
      <c r="E18" s="14">
        <f>IF(F18="","", INDEX(Branches!$A$2:$A$51, IFERROR(MATCH(ROW()-1-0.0001, Branches!$D$2:$D$51, 1), 0)+1))</f>
        <v/>
      </c>
      <c r="F18" s="15">
        <f>IF(ROW()-1&gt;SUM(Branches!$C$2:$C$51), "", INDEX(Branches!$B$2:$B$51, IFERROR(MATCH(ROW()-1-0.0001, Branches!$D$2:$D$51, 1), 0)+1))</f>
        <v/>
      </c>
      <c r="G18" s="13">
        <f>IF(B18="","",G17+IF(ISNUMBER(D18),D18,0))</f>
        <v/>
      </c>
    </row>
    <row r="19">
      <c r="A19" s="6">
        <f>IF(F19="","",IF(F19=F18,"",F19))</f>
        <v/>
      </c>
      <c r="B19" s="5">
        <f>IF(F19="","", "BLD"&amp;TEXT(ROW()-1, "000"))</f>
        <v/>
      </c>
      <c r="C19" s="11" t="n"/>
      <c r="D19" s="12" t="n"/>
      <c r="E19" s="14">
        <f>IF(F19="","", INDEX(Branches!$A$2:$A$51, IFERROR(MATCH(ROW()-1-0.0001, Branches!$D$2:$D$51, 1), 0)+1))</f>
        <v/>
      </c>
      <c r="F19" s="15">
        <f>IF(ROW()-1&gt;SUM(Branches!$C$2:$C$51), "", INDEX(Branches!$B$2:$B$51, IFERROR(MATCH(ROW()-1-0.0001, Branches!$D$2:$D$51, 1), 0)+1))</f>
        <v/>
      </c>
      <c r="G19" s="13">
        <f>IF(B19="","",G18+IF(ISNUMBER(D19),D19,0))</f>
        <v/>
      </c>
    </row>
    <row r="20">
      <c r="A20" s="6">
        <f>IF(F20="","",IF(F20=F19,"",F20))</f>
        <v/>
      </c>
      <c r="B20" s="5">
        <f>IF(F20="","", "BLD"&amp;TEXT(ROW()-1, "000"))</f>
        <v/>
      </c>
      <c r="C20" s="11" t="n"/>
      <c r="D20" s="12" t="n"/>
      <c r="E20" s="14">
        <f>IF(F20="","", INDEX(Branches!$A$2:$A$51, IFERROR(MATCH(ROW()-1-0.0001, Branches!$D$2:$D$51, 1), 0)+1))</f>
        <v/>
      </c>
      <c r="F20" s="15">
        <f>IF(ROW()-1&gt;SUM(Branches!$C$2:$C$51), "", INDEX(Branches!$B$2:$B$51, IFERROR(MATCH(ROW()-1-0.0001, Branches!$D$2:$D$51, 1), 0)+1))</f>
        <v/>
      </c>
      <c r="G20" s="13">
        <f>IF(B20="","",G19+IF(ISNUMBER(D20),D20,0))</f>
        <v/>
      </c>
    </row>
    <row r="21">
      <c r="A21" s="6">
        <f>IF(F21="","",IF(F21=F20,"",F21))</f>
        <v/>
      </c>
      <c r="B21" s="5">
        <f>IF(F21="","", "BLD"&amp;TEXT(ROW()-1, "000"))</f>
        <v/>
      </c>
      <c r="C21" s="11" t="n"/>
      <c r="D21" s="12" t="n"/>
      <c r="E21" s="14">
        <f>IF(F21="","", INDEX(Branches!$A$2:$A$51, IFERROR(MATCH(ROW()-1-0.0001, Branches!$D$2:$D$51, 1), 0)+1))</f>
        <v/>
      </c>
      <c r="F21" s="15">
        <f>IF(ROW()-1&gt;SUM(Branches!$C$2:$C$51), "", INDEX(Branches!$B$2:$B$51, IFERROR(MATCH(ROW()-1-0.0001, Branches!$D$2:$D$51, 1), 0)+1))</f>
        <v/>
      </c>
      <c r="G21" s="13">
        <f>IF(B21="","",G20+IF(ISNUMBER(D21),D21,0))</f>
        <v/>
      </c>
    </row>
    <row r="22">
      <c r="A22" s="6">
        <f>IF(F22="","",IF(F22=F21,"",F22))</f>
        <v/>
      </c>
      <c r="B22" s="5">
        <f>IF(F22="","", "BLD"&amp;TEXT(ROW()-1, "000"))</f>
        <v/>
      </c>
      <c r="C22" s="11" t="n"/>
      <c r="D22" s="12" t="n"/>
      <c r="E22" s="14">
        <f>IF(F22="","", INDEX(Branches!$A$2:$A$51, IFERROR(MATCH(ROW()-1-0.0001, Branches!$D$2:$D$51, 1), 0)+1))</f>
        <v/>
      </c>
      <c r="F22" s="15">
        <f>IF(ROW()-1&gt;SUM(Branches!$C$2:$C$51), "", INDEX(Branches!$B$2:$B$51, IFERROR(MATCH(ROW()-1-0.0001, Branches!$D$2:$D$51, 1), 0)+1))</f>
        <v/>
      </c>
      <c r="G22" s="13">
        <f>IF(B22="","",G21+IF(ISNUMBER(D22),D22,0))</f>
        <v/>
      </c>
    </row>
    <row r="23">
      <c r="A23" s="6">
        <f>IF(F23="","",IF(F23=F22,"",F23))</f>
        <v/>
      </c>
      <c r="B23" s="5">
        <f>IF(F23="","", "BLD"&amp;TEXT(ROW()-1, "000"))</f>
        <v/>
      </c>
      <c r="C23" s="11" t="n"/>
      <c r="D23" s="12" t="n"/>
      <c r="E23" s="14">
        <f>IF(F23="","", INDEX(Branches!$A$2:$A$51, IFERROR(MATCH(ROW()-1-0.0001, Branches!$D$2:$D$51, 1), 0)+1))</f>
        <v/>
      </c>
      <c r="F23" s="15">
        <f>IF(ROW()-1&gt;SUM(Branches!$C$2:$C$51), "", INDEX(Branches!$B$2:$B$51, IFERROR(MATCH(ROW()-1-0.0001, Branches!$D$2:$D$51, 1), 0)+1))</f>
        <v/>
      </c>
      <c r="G23" s="13">
        <f>IF(B23="","",G22+IF(ISNUMBER(D23),D23,0))</f>
        <v/>
      </c>
    </row>
    <row r="24">
      <c r="A24" s="6">
        <f>IF(F24="","",IF(F24=F23,"",F24))</f>
        <v/>
      </c>
      <c r="B24" s="5">
        <f>IF(F24="","", "BLD"&amp;TEXT(ROW()-1, "000"))</f>
        <v/>
      </c>
      <c r="C24" s="11" t="n"/>
      <c r="D24" s="12" t="n"/>
      <c r="E24" s="14">
        <f>IF(F24="","", INDEX(Branches!$A$2:$A$51, IFERROR(MATCH(ROW()-1-0.0001, Branches!$D$2:$D$51, 1), 0)+1))</f>
        <v/>
      </c>
      <c r="F24" s="15">
        <f>IF(ROW()-1&gt;SUM(Branches!$C$2:$C$51), "", INDEX(Branches!$B$2:$B$51, IFERROR(MATCH(ROW()-1-0.0001, Branches!$D$2:$D$51, 1), 0)+1))</f>
        <v/>
      </c>
      <c r="G24" s="13">
        <f>IF(B24="","",G23+IF(ISNUMBER(D24),D24,0))</f>
        <v/>
      </c>
    </row>
    <row r="25">
      <c r="A25" s="6">
        <f>IF(F25="","",IF(F25=F24,"",F25))</f>
        <v/>
      </c>
      <c r="B25" s="5">
        <f>IF(F25="","", "BLD"&amp;TEXT(ROW()-1, "000"))</f>
        <v/>
      </c>
      <c r="C25" s="11" t="n"/>
      <c r="D25" s="12" t="n"/>
      <c r="E25" s="14">
        <f>IF(F25="","", INDEX(Branches!$A$2:$A$51, IFERROR(MATCH(ROW()-1-0.0001, Branches!$D$2:$D$51, 1), 0)+1))</f>
        <v/>
      </c>
      <c r="F25" s="15">
        <f>IF(ROW()-1&gt;SUM(Branches!$C$2:$C$51), "", INDEX(Branches!$B$2:$B$51, IFERROR(MATCH(ROW()-1-0.0001, Branches!$D$2:$D$51, 1), 0)+1))</f>
        <v/>
      </c>
      <c r="G25" s="13">
        <f>IF(B25="","",G24+IF(ISNUMBER(D25),D25,0))</f>
        <v/>
      </c>
    </row>
    <row r="26">
      <c r="A26" s="6">
        <f>IF(F26="","",IF(F26=F25,"",F26))</f>
        <v/>
      </c>
      <c r="B26" s="5">
        <f>IF(F26="","", "BLD"&amp;TEXT(ROW()-1, "000"))</f>
        <v/>
      </c>
      <c r="C26" s="11" t="n"/>
      <c r="D26" s="12" t="n"/>
      <c r="E26" s="14">
        <f>IF(F26="","", INDEX(Branches!$A$2:$A$51, IFERROR(MATCH(ROW()-1-0.0001, Branches!$D$2:$D$51, 1), 0)+1))</f>
        <v/>
      </c>
      <c r="F26" s="15">
        <f>IF(ROW()-1&gt;SUM(Branches!$C$2:$C$51), "", INDEX(Branches!$B$2:$B$51, IFERROR(MATCH(ROW()-1-0.0001, Branches!$D$2:$D$51, 1), 0)+1))</f>
        <v/>
      </c>
      <c r="G26" s="13">
        <f>IF(B26="","",G25+IF(ISNUMBER(D26),D26,0))</f>
        <v/>
      </c>
    </row>
    <row r="27">
      <c r="A27" s="6">
        <f>IF(F27="","",IF(F27=F26,"",F27))</f>
        <v/>
      </c>
      <c r="B27" s="5">
        <f>IF(F27="","", "BLD"&amp;TEXT(ROW()-1, "000"))</f>
        <v/>
      </c>
      <c r="C27" s="11" t="n"/>
      <c r="D27" s="12" t="n"/>
      <c r="E27" s="14">
        <f>IF(F27="","", INDEX(Branches!$A$2:$A$51, IFERROR(MATCH(ROW()-1-0.0001, Branches!$D$2:$D$51, 1), 0)+1))</f>
        <v/>
      </c>
      <c r="F27" s="15">
        <f>IF(ROW()-1&gt;SUM(Branches!$C$2:$C$51), "", INDEX(Branches!$B$2:$B$51, IFERROR(MATCH(ROW()-1-0.0001, Branches!$D$2:$D$51, 1), 0)+1))</f>
        <v/>
      </c>
      <c r="G27" s="13">
        <f>IF(B27="","",G26+IF(ISNUMBER(D27),D27,0))</f>
        <v/>
      </c>
    </row>
    <row r="28">
      <c r="A28" s="6">
        <f>IF(F28="","",IF(F28=F27,"",F28))</f>
        <v/>
      </c>
      <c r="B28" s="5">
        <f>IF(F28="","", "BLD"&amp;TEXT(ROW()-1, "000"))</f>
        <v/>
      </c>
      <c r="C28" s="11" t="n"/>
      <c r="D28" s="12" t="n"/>
      <c r="E28" s="14">
        <f>IF(F28="","", INDEX(Branches!$A$2:$A$51, IFERROR(MATCH(ROW()-1-0.0001, Branches!$D$2:$D$51, 1), 0)+1))</f>
        <v/>
      </c>
      <c r="F28" s="15">
        <f>IF(ROW()-1&gt;SUM(Branches!$C$2:$C$51), "", INDEX(Branches!$B$2:$B$51, IFERROR(MATCH(ROW()-1-0.0001, Branches!$D$2:$D$51, 1), 0)+1))</f>
        <v/>
      </c>
      <c r="G28" s="13">
        <f>IF(B28="","",G27+IF(ISNUMBER(D28),D28,0))</f>
        <v/>
      </c>
    </row>
    <row r="29">
      <c r="A29" s="6">
        <f>IF(F29="","",IF(F29=F28,"",F29))</f>
        <v/>
      </c>
      <c r="B29" s="5">
        <f>IF(F29="","", "BLD"&amp;TEXT(ROW()-1, "000"))</f>
        <v/>
      </c>
      <c r="C29" s="11" t="n"/>
      <c r="D29" s="12" t="n"/>
      <c r="E29" s="14">
        <f>IF(F29="","", INDEX(Branches!$A$2:$A$51, IFERROR(MATCH(ROW()-1-0.0001, Branches!$D$2:$D$51, 1), 0)+1))</f>
        <v/>
      </c>
      <c r="F29" s="15">
        <f>IF(ROW()-1&gt;SUM(Branches!$C$2:$C$51), "", INDEX(Branches!$B$2:$B$51, IFERROR(MATCH(ROW()-1-0.0001, Branches!$D$2:$D$51, 1), 0)+1))</f>
        <v/>
      </c>
      <c r="G29" s="13">
        <f>IF(B29="","",G28+IF(ISNUMBER(D29),D29,0))</f>
        <v/>
      </c>
    </row>
    <row r="30">
      <c r="A30" s="6">
        <f>IF(F30="","",IF(F30=F29,"",F30))</f>
        <v/>
      </c>
      <c r="B30" s="5">
        <f>IF(F30="","", "BLD"&amp;TEXT(ROW()-1, "000"))</f>
        <v/>
      </c>
      <c r="C30" s="11" t="n"/>
      <c r="D30" s="12" t="n"/>
      <c r="E30" s="14">
        <f>IF(F30="","", INDEX(Branches!$A$2:$A$51, IFERROR(MATCH(ROW()-1-0.0001, Branches!$D$2:$D$51, 1), 0)+1))</f>
        <v/>
      </c>
      <c r="F30" s="15">
        <f>IF(ROW()-1&gt;SUM(Branches!$C$2:$C$51), "", INDEX(Branches!$B$2:$B$51, IFERROR(MATCH(ROW()-1-0.0001, Branches!$D$2:$D$51, 1), 0)+1))</f>
        <v/>
      </c>
      <c r="G30" s="13">
        <f>IF(B30="","",G29+IF(ISNUMBER(D30),D30,0))</f>
        <v/>
      </c>
    </row>
    <row r="31">
      <c r="A31" s="6">
        <f>IF(F31="","",IF(F31=F30,"",F31))</f>
        <v/>
      </c>
      <c r="B31" s="5">
        <f>IF(F31="","", "BLD"&amp;TEXT(ROW()-1, "000"))</f>
        <v/>
      </c>
      <c r="C31" s="11" t="n"/>
      <c r="D31" s="12" t="n"/>
      <c r="E31" s="14">
        <f>IF(F31="","", INDEX(Branches!$A$2:$A$51, IFERROR(MATCH(ROW()-1-0.0001, Branches!$D$2:$D$51, 1), 0)+1))</f>
        <v/>
      </c>
      <c r="F31" s="15">
        <f>IF(ROW()-1&gt;SUM(Branches!$C$2:$C$51), "", INDEX(Branches!$B$2:$B$51, IFERROR(MATCH(ROW()-1-0.0001, Branches!$D$2:$D$51, 1), 0)+1))</f>
        <v/>
      </c>
      <c r="G31" s="13">
        <f>IF(B31="","",G30+IF(ISNUMBER(D31),D31,0))</f>
        <v/>
      </c>
    </row>
    <row r="32">
      <c r="A32" s="6">
        <f>IF(F32="","",IF(F32=F31,"",F32))</f>
        <v/>
      </c>
      <c r="B32" s="5">
        <f>IF(F32="","", "BLD"&amp;TEXT(ROW()-1, "000"))</f>
        <v/>
      </c>
      <c r="C32" s="11" t="n"/>
      <c r="D32" s="12" t="n"/>
      <c r="E32" s="14">
        <f>IF(F32="","", INDEX(Branches!$A$2:$A$51, IFERROR(MATCH(ROW()-1-0.0001, Branches!$D$2:$D$51, 1), 0)+1))</f>
        <v/>
      </c>
      <c r="F32" s="15">
        <f>IF(ROW()-1&gt;SUM(Branches!$C$2:$C$51), "", INDEX(Branches!$B$2:$B$51, IFERROR(MATCH(ROW()-1-0.0001, Branches!$D$2:$D$51, 1), 0)+1))</f>
        <v/>
      </c>
      <c r="G32" s="13">
        <f>IF(B32="","",G31+IF(ISNUMBER(D32),D32,0))</f>
        <v/>
      </c>
    </row>
    <row r="33">
      <c r="A33" s="6">
        <f>IF(F33="","",IF(F33=F32,"",F33))</f>
        <v/>
      </c>
      <c r="B33" s="5">
        <f>IF(F33="","", "BLD"&amp;TEXT(ROW()-1, "000"))</f>
        <v/>
      </c>
      <c r="C33" s="11" t="n"/>
      <c r="D33" s="12" t="n"/>
      <c r="E33" s="14">
        <f>IF(F33="","", INDEX(Branches!$A$2:$A$51, IFERROR(MATCH(ROW()-1-0.0001, Branches!$D$2:$D$51, 1), 0)+1))</f>
        <v/>
      </c>
      <c r="F33" s="15">
        <f>IF(ROW()-1&gt;SUM(Branches!$C$2:$C$51), "", INDEX(Branches!$B$2:$B$51, IFERROR(MATCH(ROW()-1-0.0001, Branches!$D$2:$D$51, 1), 0)+1))</f>
        <v/>
      </c>
      <c r="G33" s="13">
        <f>IF(B33="","",G32+IF(ISNUMBER(D33),D33,0))</f>
        <v/>
      </c>
    </row>
    <row r="34">
      <c r="A34" s="6">
        <f>IF(F34="","",IF(F34=F33,"",F34))</f>
        <v/>
      </c>
      <c r="B34" s="5">
        <f>IF(F34="","", "BLD"&amp;TEXT(ROW()-1, "000"))</f>
        <v/>
      </c>
      <c r="C34" s="11" t="n"/>
      <c r="D34" s="12" t="n"/>
      <c r="E34" s="14">
        <f>IF(F34="","", INDEX(Branches!$A$2:$A$51, IFERROR(MATCH(ROW()-1-0.0001, Branches!$D$2:$D$51, 1), 0)+1))</f>
        <v/>
      </c>
      <c r="F34" s="15">
        <f>IF(ROW()-1&gt;SUM(Branches!$C$2:$C$51), "", INDEX(Branches!$B$2:$B$51, IFERROR(MATCH(ROW()-1-0.0001, Branches!$D$2:$D$51, 1), 0)+1))</f>
        <v/>
      </c>
      <c r="G34" s="13">
        <f>IF(B34="","",G33+IF(ISNUMBER(D34),D34,0))</f>
        <v/>
      </c>
    </row>
    <row r="35">
      <c r="A35" s="6">
        <f>IF(F35="","",IF(F35=F34,"",F35))</f>
        <v/>
      </c>
      <c r="B35" s="5">
        <f>IF(F35="","", "BLD"&amp;TEXT(ROW()-1, "000"))</f>
        <v/>
      </c>
      <c r="C35" s="11" t="n"/>
      <c r="D35" s="12" t="n"/>
      <c r="E35" s="14">
        <f>IF(F35="","", INDEX(Branches!$A$2:$A$51, IFERROR(MATCH(ROW()-1-0.0001, Branches!$D$2:$D$51, 1), 0)+1))</f>
        <v/>
      </c>
      <c r="F35" s="15">
        <f>IF(ROW()-1&gt;SUM(Branches!$C$2:$C$51), "", INDEX(Branches!$B$2:$B$51, IFERROR(MATCH(ROW()-1-0.0001, Branches!$D$2:$D$51, 1), 0)+1))</f>
        <v/>
      </c>
      <c r="G35" s="13">
        <f>IF(B35="","",G34+IF(ISNUMBER(D35),D35,0))</f>
        <v/>
      </c>
    </row>
    <row r="36">
      <c r="A36" s="6">
        <f>IF(F36="","",IF(F36=F35,"",F36))</f>
        <v/>
      </c>
      <c r="B36" s="5">
        <f>IF(F36="","", "BLD"&amp;TEXT(ROW()-1, "000"))</f>
        <v/>
      </c>
      <c r="C36" s="11" t="n"/>
      <c r="D36" s="12" t="n"/>
      <c r="E36" s="14">
        <f>IF(F36="","", INDEX(Branches!$A$2:$A$51, IFERROR(MATCH(ROW()-1-0.0001, Branches!$D$2:$D$51, 1), 0)+1))</f>
        <v/>
      </c>
      <c r="F36" s="15">
        <f>IF(ROW()-1&gt;SUM(Branches!$C$2:$C$51), "", INDEX(Branches!$B$2:$B$51, IFERROR(MATCH(ROW()-1-0.0001, Branches!$D$2:$D$51, 1), 0)+1))</f>
        <v/>
      </c>
      <c r="G36" s="13">
        <f>IF(B36="","",G35+IF(ISNUMBER(D36),D36,0))</f>
        <v/>
      </c>
    </row>
    <row r="37">
      <c r="A37" s="6">
        <f>IF(F37="","",IF(F37=F36,"",F37))</f>
        <v/>
      </c>
      <c r="B37" s="5">
        <f>IF(F37="","", "BLD"&amp;TEXT(ROW()-1, "000"))</f>
        <v/>
      </c>
      <c r="C37" s="11" t="n"/>
      <c r="D37" s="12" t="n"/>
      <c r="E37" s="14">
        <f>IF(F37="","", INDEX(Branches!$A$2:$A$51, IFERROR(MATCH(ROW()-1-0.0001, Branches!$D$2:$D$51, 1), 0)+1))</f>
        <v/>
      </c>
      <c r="F37" s="15">
        <f>IF(ROW()-1&gt;SUM(Branches!$C$2:$C$51), "", INDEX(Branches!$B$2:$B$51, IFERROR(MATCH(ROW()-1-0.0001, Branches!$D$2:$D$51, 1), 0)+1))</f>
        <v/>
      </c>
      <c r="G37" s="13">
        <f>IF(B37="","",G36+IF(ISNUMBER(D37),D37,0))</f>
        <v/>
      </c>
    </row>
    <row r="38">
      <c r="A38" s="6">
        <f>IF(F38="","",IF(F38=F37,"",F38))</f>
        <v/>
      </c>
      <c r="B38" s="5">
        <f>IF(F38="","", "BLD"&amp;TEXT(ROW()-1, "000"))</f>
        <v/>
      </c>
      <c r="C38" s="11" t="n"/>
      <c r="D38" s="12" t="n"/>
      <c r="E38" s="14">
        <f>IF(F38="","", INDEX(Branches!$A$2:$A$51, IFERROR(MATCH(ROW()-1-0.0001, Branches!$D$2:$D$51, 1), 0)+1))</f>
        <v/>
      </c>
      <c r="F38" s="15">
        <f>IF(ROW()-1&gt;SUM(Branches!$C$2:$C$51), "", INDEX(Branches!$B$2:$B$51, IFERROR(MATCH(ROW()-1-0.0001, Branches!$D$2:$D$51, 1), 0)+1))</f>
        <v/>
      </c>
      <c r="G38" s="13">
        <f>IF(B38="","",G37+IF(ISNUMBER(D38),D38,0))</f>
        <v/>
      </c>
    </row>
    <row r="39">
      <c r="A39" s="6">
        <f>IF(F39="","",IF(F39=F38,"",F39))</f>
        <v/>
      </c>
      <c r="B39" s="5">
        <f>IF(F39="","", "BLD"&amp;TEXT(ROW()-1, "000"))</f>
        <v/>
      </c>
      <c r="C39" s="11" t="n"/>
      <c r="D39" s="12" t="n"/>
      <c r="E39" s="14">
        <f>IF(F39="","", INDEX(Branches!$A$2:$A$51, IFERROR(MATCH(ROW()-1-0.0001, Branches!$D$2:$D$51, 1), 0)+1))</f>
        <v/>
      </c>
      <c r="F39" s="15">
        <f>IF(ROW()-1&gt;SUM(Branches!$C$2:$C$51), "", INDEX(Branches!$B$2:$B$51, IFERROR(MATCH(ROW()-1-0.0001, Branches!$D$2:$D$51, 1), 0)+1))</f>
        <v/>
      </c>
      <c r="G39" s="13">
        <f>IF(B39="","",G38+IF(ISNUMBER(D39),D39,0))</f>
        <v/>
      </c>
    </row>
    <row r="40">
      <c r="A40" s="6">
        <f>IF(F40="","",IF(F40=F39,"",F40))</f>
        <v/>
      </c>
      <c r="B40" s="5">
        <f>IF(F40="","", "BLD"&amp;TEXT(ROW()-1, "000"))</f>
        <v/>
      </c>
      <c r="C40" s="11" t="n"/>
      <c r="D40" s="12" t="n"/>
      <c r="E40" s="14">
        <f>IF(F40="","", INDEX(Branches!$A$2:$A$51, IFERROR(MATCH(ROW()-1-0.0001, Branches!$D$2:$D$51, 1), 0)+1))</f>
        <v/>
      </c>
      <c r="F40" s="15">
        <f>IF(ROW()-1&gt;SUM(Branches!$C$2:$C$51), "", INDEX(Branches!$B$2:$B$51, IFERROR(MATCH(ROW()-1-0.0001, Branches!$D$2:$D$51, 1), 0)+1))</f>
        <v/>
      </c>
      <c r="G40" s="13">
        <f>IF(B40="","",G39+IF(ISNUMBER(D40),D40,0))</f>
        <v/>
      </c>
    </row>
    <row r="41">
      <c r="A41" s="6">
        <f>IF(F41="","",IF(F41=F40,"",F41))</f>
        <v/>
      </c>
      <c r="B41" s="5">
        <f>IF(F41="","", "BLD"&amp;TEXT(ROW()-1, "000"))</f>
        <v/>
      </c>
      <c r="C41" s="11" t="n"/>
      <c r="D41" s="12" t="n"/>
      <c r="E41" s="14">
        <f>IF(F41="","", INDEX(Branches!$A$2:$A$51, IFERROR(MATCH(ROW()-1-0.0001, Branches!$D$2:$D$51, 1), 0)+1))</f>
        <v/>
      </c>
      <c r="F41" s="15">
        <f>IF(ROW()-1&gt;SUM(Branches!$C$2:$C$51), "", INDEX(Branches!$B$2:$B$51, IFERROR(MATCH(ROW()-1-0.0001, Branches!$D$2:$D$51, 1), 0)+1))</f>
        <v/>
      </c>
      <c r="G41" s="13">
        <f>IF(B41="","",G40+IF(ISNUMBER(D41),D41,0))</f>
        <v/>
      </c>
    </row>
    <row r="42">
      <c r="A42" s="6">
        <f>IF(F42="","",IF(F42=F41,"",F42))</f>
        <v/>
      </c>
      <c r="B42" s="5">
        <f>IF(F42="","", "BLD"&amp;TEXT(ROW()-1, "000"))</f>
        <v/>
      </c>
      <c r="C42" s="11" t="n"/>
      <c r="D42" s="12" t="n"/>
      <c r="E42" s="14">
        <f>IF(F42="","", INDEX(Branches!$A$2:$A$51, IFERROR(MATCH(ROW()-1-0.0001, Branches!$D$2:$D$51, 1), 0)+1))</f>
        <v/>
      </c>
      <c r="F42" s="15">
        <f>IF(ROW()-1&gt;SUM(Branches!$C$2:$C$51), "", INDEX(Branches!$B$2:$B$51, IFERROR(MATCH(ROW()-1-0.0001, Branches!$D$2:$D$51, 1), 0)+1))</f>
        <v/>
      </c>
      <c r="G42" s="13">
        <f>IF(B42="","",G41+IF(ISNUMBER(D42),D42,0))</f>
        <v/>
      </c>
    </row>
    <row r="43">
      <c r="A43" s="6">
        <f>IF(F43="","",IF(F43=F42,"",F43))</f>
        <v/>
      </c>
      <c r="B43" s="5">
        <f>IF(F43="","", "BLD"&amp;TEXT(ROW()-1, "000"))</f>
        <v/>
      </c>
      <c r="C43" s="11" t="n"/>
      <c r="D43" s="12" t="n"/>
      <c r="E43" s="14">
        <f>IF(F43="","", INDEX(Branches!$A$2:$A$51, IFERROR(MATCH(ROW()-1-0.0001, Branches!$D$2:$D$51, 1), 0)+1))</f>
        <v/>
      </c>
      <c r="F43" s="15">
        <f>IF(ROW()-1&gt;SUM(Branches!$C$2:$C$51), "", INDEX(Branches!$B$2:$B$51, IFERROR(MATCH(ROW()-1-0.0001, Branches!$D$2:$D$51, 1), 0)+1))</f>
        <v/>
      </c>
      <c r="G43" s="13">
        <f>IF(B43="","",G42+IF(ISNUMBER(D43),D43,0))</f>
        <v/>
      </c>
    </row>
    <row r="44">
      <c r="A44" s="6">
        <f>IF(F44="","",IF(F44=F43,"",F44))</f>
        <v/>
      </c>
      <c r="B44" s="5">
        <f>IF(F44="","", "BLD"&amp;TEXT(ROW()-1, "000"))</f>
        <v/>
      </c>
      <c r="C44" s="11" t="n"/>
      <c r="D44" s="12" t="n"/>
      <c r="E44" s="14">
        <f>IF(F44="","", INDEX(Branches!$A$2:$A$51, IFERROR(MATCH(ROW()-1-0.0001, Branches!$D$2:$D$51, 1), 0)+1))</f>
        <v/>
      </c>
      <c r="F44" s="15">
        <f>IF(ROW()-1&gt;SUM(Branches!$C$2:$C$51), "", INDEX(Branches!$B$2:$B$51, IFERROR(MATCH(ROW()-1-0.0001, Branches!$D$2:$D$51, 1), 0)+1))</f>
        <v/>
      </c>
      <c r="G44" s="13">
        <f>IF(B44="","",G43+IF(ISNUMBER(D44),D44,0))</f>
        <v/>
      </c>
    </row>
    <row r="45">
      <c r="A45" s="6">
        <f>IF(F45="","",IF(F45=F44,"",F45))</f>
        <v/>
      </c>
      <c r="B45" s="5">
        <f>IF(F45="","", "BLD"&amp;TEXT(ROW()-1, "000"))</f>
        <v/>
      </c>
      <c r="C45" s="11" t="n"/>
      <c r="D45" s="12" t="n"/>
      <c r="E45" s="14">
        <f>IF(F45="","", INDEX(Branches!$A$2:$A$51, IFERROR(MATCH(ROW()-1-0.0001, Branches!$D$2:$D$51, 1), 0)+1))</f>
        <v/>
      </c>
      <c r="F45" s="15">
        <f>IF(ROW()-1&gt;SUM(Branches!$C$2:$C$51), "", INDEX(Branches!$B$2:$B$51, IFERROR(MATCH(ROW()-1-0.0001, Branches!$D$2:$D$51, 1), 0)+1))</f>
        <v/>
      </c>
      <c r="G45" s="13">
        <f>IF(B45="","",G44+IF(ISNUMBER(D45),D45,0))</f>
        <v/>
      </c>
    </row>
    <row r="46">
      <c r="A46" s="6">
        <f>IF(F46="","",IF(F46=F45,"",F46))</f>
        <v/>
      </c>
      <c r="B46" s="5">
        <f>IF(F46="","", "BLD"&amp;TEXT(ROW()-1, "000"))</f>
        <v/>
      </c>
      <c r="C46" s="11" t="n"/>
      <c r="D46" s="12" t="n"/>
      <c r="E46" s="14">
        <f>IF(F46="","", INDEX(Branches!$A$2:$A$51, IFERROR(MATCH(ROW()-1-0.0001, Branches!$D$2:$D$51, 1), 0)+1))</f>
        <v/>
      </c>
      <c r="F46" s="15">
        <f>IF(ROW()-1&gt;SUM(Branches!$C$2:$C$51), "", INDEX(Branches!$B$2:$B$51, IFERROR(MATCH(ROW()-1-0.0001, Branches!$D$2:$D$51, 1), 0)+1))</f>
        <v/>
      </c>
      <c r="G46" s="13">
        <f>IF(B46="","",G45+IF(ISNUMBER(D46),D46,0))</f>
        <v/>
      </c>
    </row>
    <row r="47">
      <c r="A47" s="6">
        <f>IF(F47="","",IF(F47=F46,"",F47))</f>
        <v/>
      </c>
      <c r="B47" s="5">
        <f>IF(F47="","", "BLD"&amp;TEXT(ROW()-1, "000"))</f>
        <v/>
      </c>
      <c r="C47" s="11" t="n"/>
      <c r="D47" s="12" t="n"/>
      <c r="E47" s="14">
        <f>IF(F47="","", INDEX(Branches!$A$2:$A$51, IFERROR(MATCH(ROW()-1-0.0001, Branches!$D$2:$D$51, 1), 0)+1))</f>
        <v/>
      </c>
      <c r="F47" s="15">
        <f>IF(ROW()-1&gt;SUM(Branches!$C$2:$C$51), "", INDEX(Branches!$B$2:$B$51, IFERROR(MATCH(ROW()-1-0.0001, Branches!$D$2:$D$51, 1), 0)+1))</f>
        <v/>
      </c>
      <c r="G47" s="13">
        <f>IF(B47="","",G46+IF(ISNUMBER(D47),D47,0))</f>
        <v/>
      </c>
    </row>
    <row r="48">
      <c r="A48" s="6">
        <f>IF(F48="","",IF(F48=F47,"",F48))</f>
        <v/>
      </c>
      <c r="B48" s="5">
        <f>IF(F48="","", "BLD"&amp;TEXT(ROW()-1, "000"))</f>
        <v/>
      </c>
      <c r="C48" s="11" t="n"/>
      <c r="D48" s="12" t="n"/>
      <c r="E48" s="14">
        <f>IF(F48="","", INDEX(Branches!$A$2:$A$51, IFERROR(MATCH(ROW()-1-0.0001, Branches!$D$2:$D$51, 1), 0)+1))</f>
        <v/>
      </c>
      <c r="F48" s="15">
        <f>IF(ROW()-1&gt;SUM(Branches!$C$2:$C$51), "", INDEX(Branches!$B$2:$B$51, IFERROR(MATCH(ROW()-1-0.0001, Branches!$D$2:$D$51, 1), 0)+1))</f>
        <v/>
      </c>
      <c r="G48" s="13">
        <f>IF(B48="","",G47+IF(ISNUMBER(D48),D48,0))</f>
        <v/>
      </c>
    </row>
    <row r="49">
      <c r="A49" s="6">
        <f>IF(F49="","",IF(F49=F48,"",F49))</f>
        <v/>
      </c>
      <c r="B49" s="5">
        <f>IF(F49="","", "BLD"&amp;TEXT(ROW()-1, "000"))</f>
        <v/>
      </c>
      <c r="C49" s="11" t="n"/>
      <c r="D49" s="12" t="n"/>
      <c r="E49" s="14">
        <f>IF(F49="","", INDEX(Branches!$A$2:$A$51, IFERROR(MATCH(ROW()-1-0.0001, Branches!$D$2:$D$51, 1), 0)+1))</f>
        <v/>
      </c>
      <c r="F49" s="15">
        <f>IF(ROW()-1&gt;SUM(Branches!$C$2:$C$51), "", INDEX(Branches!$B$2:$B$51, IFERROR(MATCH(ROW()-1-0.0001, Branches!$D$2:$D$51, 1), 0)+1))</f>
        <v/>
      </c>
      <c r="G49" s="13">
        <f>IF(B49="","",G48+IF(ISNUMBER(D49),D49,0))</f>
        <v/>
      </c>
    </row>
    <row r="50">
      <c r="A50" s="6">
        <f>IF(F50="","",IF(F50=F49,"",F50))</f>
        <v/>
      </c>
      <c r="B50" s="5">
        <f>IF(F50="","", "BLD"&amp;TEXT(ROW()-1, "000"))</f>
        <v/>
      </c>
      <c r="C50" s="11" t="n"/>
      <c r="D50" s="12" t="n"/>
      <c r="E50" s="14">
        <f>IF(F50="","", INDEX(Branches!$A$2:$A$51, IFERROR(MATCH(ROW()-1-0.0001, Branches!$D$2:$D$51, 1), 0)+1))</f>
        <v/>
      </c>
      <c r="F50" s="15">
        <f>IF(ROW()-1&gt;SUM(Branches!$C$2:$C$51), "", INDEX(Branches!$B$2:$B$51, IFERROR(MATCH(ROW()-1-0.0001, Branches!$D$2:$D$51, 1), 0)+1))</f>
        <v/>
      </c>
      <c r="G50" s="13">
        <f>IF(B50="","",G49+IF(ISNUMBER(D50),D50,0))</f>
        <v/>
      </c>
    </row>
    <row r="51">
      <c r="A51" s="6">
        <f>IF(F51="","",IF(F51=F50,"",F51))</f>
        <v/>
      </c>
      <c r="B51" s="5">
        <f>IF(F51="","", "BLD"&amp;TEXT(ROW()-1, "000"))</f>
        <v/>
      </c>
      <c r="C51" s="11" t="n"/>
      <c r="D51" s="12" t="n"/>
      <c r="E51" s="14">
        <f>IF(F51="","", INDEX(Branches!$A$2:$A$51, IFERROR(MATCH(ROW()-1-0.0001, Branches!$D$2:$D$51, 1), 0)+1))</f>
        <v/>
      </c>
      <c r="F51" s="15">
        <f>IF(ROW()-1&gt;SUM(Branches!$C$2:$C$51), "", INDEX(Branches!$B$2:$B$51, IFERROR(MATCH(ROW()-1-0.0001, Branches!$D$2:$D$51, 1), 0)+1))</f>
        <v/>
      </c>
      <c r="G51" s="13">
        <f>IF(B51="","",G50+IF(ISNUMBER(D51),D51,0))</f>
        <v/>
      </c>
    </row>
    <row r="52">
      <c r="A52" s="6">
        <f>IF(F52="","",IF(F52=F51,"",F52))</f>
        <v/>
      </c>
      <c r="B52" s="5">
        <f>IF(F52="","", "BLD"&amp;TEXT(ROW()-1, "000"))</f>
        <v/>
      </c>
      <c r="C52" s="11" t="n"/>
      <c r="D52" s="12" t="n"/>
      <c r="E52" s="14">
        <f>IF(F52="","", INDEX(Branches!$A$2:$A$51, IFERROR(MATCH(ROW()-1-0.0001, Branches!$D$2:$D$51, 1), 0)+1))</f>
        <v/>
      </c>
      <c r="F52" s="15">
        <f>IF(ROW()-1&gt;SUM(Branches!$C$2:$C$51), "", INDEX(Branches!$B$2:$B$51, IFERROR(MATCH(ROW()-1-0.0001, Branches!$D$2:$D$51, 1), 0)+1))</f>
        <v/>
      </c>
      <c r="G52" s="13">
        <f>IF(B52="","",G51+IF(ISNUMBER(D52),D52,0))</f>
        <v/>
      </c>
    </row>
    <row r="53">
      <c r="A53" s="6">
        <f>IF(F53="","",IF(F53=F52,"",F53))</f>
        <v/>
      </c>
      <c r="B53" s="5">
        <f>IF(F53="","", "BLD"&amp;TEXT(ROW()-1, "000"))</f>
        <v/>
      </c>
      <c r="C53" s="11" t="n"/>
      <c r="D53" s="12" t="n"/>
      <c r="E53" s="14">
        <f>IF(F53="","", INDEX(Branches!$A$2:$A$51, IFERROR(MATCH(ROW()-1-0.0001, Branches!$D$2:$D$51, 1), 0)+1))</f>
        <v/>
      </c>
      <c r="F53" s="15">
        <f>IF(ROW()-1&gt;SUM(Branches!$C$2:$C$51), "", INDEX(Branches!$B$2:$B$51, IFERROR(MATCH(ROW()-1-0.0001, Branches!$D$2:$D$51, 1), 0)+1))</f>
        <v/>
      </c>
      <c r="G53" s="13">
        <f>IF(B53="","",G52+IF(ISNUMBER(D53),D53,0))</f>
        <v/>
      </c>
    </row>
    <row r="54">
      <c r="A54" s="6">
        <f>IF(F54="","",IF(F54=F53,"",F54))</f>
        <v/>
      </c>
      <c r="B54" s="5">
        <f>IF(F54="","", "BLD"&amp;TEXT(ROW()-1, "000"))</f>
        <v/>
      </c>
      <c r="C54" s="11" t="n"/>
      <c r="D54" s="12" t="n"/>
      <c r="E54" s="14">
        <f>IF(F54="","", INDEX(Branches!$A$2:$A$51, IFERROR(MATCH(ROW()-1-0.0001, Branches!$D$2:$D$51, 1), 0)+1))</f>
        <v/>
      </c>
      <c r="F54" s="15">
        <f>IF(ROW()-1&gt;SUM(Branches!$C$2:$C$51), "", INDEX(Branches!$B$2:$B$51, IFERROR(MATCH(ROW()-1-0.0001, Branches!$D$2:$D$51, 1), 0)+1))</f>
        <v/>
      </c>
      <c r="G54" s="13">
        <f>IF(B54="","",G53+IF(ISNUMBER(D54),D54,0))</f>
        <v/>
      </c>
    </row>
    <row r="55">
      <c r="A55" s="6">
        <f>IF(F55="","",IF(F55=F54,"",F55))</f>
        <v/>
      </c>
      <c r="B55" s="5">
        <f>IF(F55="","", "BLD"&amp;TEXT(ROW()-1, "000"))</f>
        <v/>
      </c>
      <c r="C55" s="11" t="n"/>
      <c r="D55" s="12" t="n"/>
      <c r="E55" s="14">
        <f>IF(F55="","", INDEX(Branches!$A$2:$A$51, IFERROR(MATCH(ROW()-1-0.0001, Branches!$D$2:$D$51, 1), 0)+1))</f>
        <v/>
      </c>
      <c r="F55" s="15">
        <f>IF(ROW()-1&gt;SUM(Branches!$C$2:$C$51), "", INDEX(Branches!$B$2:$B$51, IFERROR(MATCH(ROW()-1-0.0001, Branches!$D$2:$D$51, 1), 0)+1))</f>
        <v/>
      </c>
      <c r="G55" s="13">
        <f>IF(B55="","",G54+IF(ISNUMBER(D55),D55,0))</f>
        <v/>
      </c>
    </row>
    <row r="56">
      <c r="A56" s="6">
        <f>IF(F56="","",IF(F56=F55,"",F56))</f>
        <v/>
      </c>
      <c r="B56" s="5">
        <f>IF(F56="","", "BLD"&amp;TEXT(ROW()-1, "000"))</f>
        <v/>
      </c>
      <c r="C56" s="11" t="n"/>
      <c r="D56" s="12" t="n"/>
      <c r="E56" s="14">
        <f>IF(F56="","", INDEX(Branches!$A$2:$A$51, IFERROR(MATCH(ROW()-1-0.0001, Branches!$D$2:$D$51, 1), 0)+1))</f>
        <v/>
      </c>
      <c r="F56" s="15">
        <f>IF(ROW()-1&gt;SUM(Branches!$C$2:$C$51), "", INDEX(Branches!$B$2:$B$51, IFERROR(MATCH(ROW()-1-0.0001, Branches!$D$2:$D$51, 1), 0)+1))</f>
        <v/>
      </c>
      <c r="G56" s="13">
        <f>IF(B56="","",G55+IF(ISNUMBER(D56),D56,0))</f>
        <v/>
      </c>
    </row>
    <row r="57">
      <c r="A57" s="6">
        <f>IF(F57="","",IF(F57=F56,"",F57))</f>
        <v/>
      </c>
      <c r="B57" s="5">
        <f>IF(F57="","", "BLD"&amp;TEXT(ROW()-1, "000"))</f>
        <v/>
      </c>
      <c r="C57" s="11" t="n"/>
      <c r="D57" s="12" t="n"/>
      <c r="E57" s="14">
        <f>IF(F57="","", INDEX(Branches!$A$2:$A$51, IFERROR(MATCH(ROW()-1-0.0001, Branches!$D$2:$D$51, 1), 0)+1))</f>
        <v/>
      </c>
      <c r="F57" s="15">
        <f>IF(ROW()-1&gt;SUM(Branches!$C$2:$C$51), "", INDEX(Branches!$B$2:$B$51, IFERROR(MATCH(ROW()-1-0.0001, Branches!$D$2:$D$51, 1), 0)+1))</f>
        <v/>
      </c>
      <c r="G57" s="13">
        <f>IF(B57="","",G56+IF(ISNUMBER(D57),D57,0))</f>
        <v/>
      </c>
    </row>
    <row r="58">
      <c r="A58" s="6">
        <f>IF(F58="","",IF(F58=F57,"",F58))</f>
        <v/>
      </c>
      <c r="B58" s="5">
        <f>IF(F58="","", "BLD"&amp;TEXT(ROW()-1, "000"))</f>
        <v/>
      </c>
      <c r="C58" s="11" t="n"/>
      <c r="D58" s="12" t="n"/>
      <c r="E58" s="14">
        <f>IF(F58="","", INDEX(Branches!$A$2:$A$51, IFERROR(MATCH(ROW()-1-0.0001, Branches!$D$2:$D$51, 1), 0)+1))</f>
        <v/>
      </c>
      <c r="F58" s="15">
        <f>IF(ROW()-1&gt;SUM(Branches!$C$2:$C$51), "", INDEX(Branches!$B$2:$B$51, IFERROR(MATCH(ROW()-1-0.0001, Branches!$D$2:$D$51, 1), 0)+1))</f>
        <v/>
      </c>
      <c r="G58" s="13">
        <f>IF(B58="","",G57+IF(ISNUMBER(D58),D58,0))</f>
        <v/>
      </c>
    </row>
    <row r="59">
      <c r="A59" s="6">
        <f>IF(F59="","",IF(F59=F58,"",F59))</f>
        <v/>
      </c>
      <c r="B59" s="5">
        <f>IF(F59="","", "BLD"&amp;TEXT(ROW()-1, "000"))</f>
        <v/>
      </c>
      <c r="C59" s="11" t="n"/>
      <c r="D59" s="12" t="n"/>
      <c r="E59" s="14">
        <f>IF(F59="","", INDEX(Branches!$A$2:$A$51, IFERROR(MATCH(ROW()-1-0.0001, Branches!$D$2:$D$51, 1), 0)+1))</f>
        <v/>
      </c>
      <c r="F59" s="15">
        <f>IF(ROW()-1&gt;SUM(Branches!$C$2:$C$51), "", INDEX(Branches!$B$2:$B$51, IFERROR(MATCH(ROW()-1-0.0001, Branches!$D$2:$D$51, 1), 0)+1))</f>
        <v/>
      </c>
      <c r="G59" s="13">
        <f>IF(B59="","",G58+IF(ISNUMBER(D59),D59,0))</f>
        <v/>
      </c>
    </row>
    <row r="60">
      <c r="A60" s="6">
        <f>IF(F60="","",IF(F60=F59,"",F60))</f>
        <v/>
      </c>
      <c r="B60" s="5">
        <f>IF(F60="","", "BLD"&amp;TEXT(ROW()-1, "000"))</f>
        <v/>
      </c>
      <c r="C60" s="11" t="n"/>
      <c r="D60" s="12" t="n"/>
      <c r="E60" s="14">
        <f>IF(F60="","", INDEX(Branches!$A$2:$A$51, IFERROR(MATCH(ROW()-1-0.0001, Branches!$D$2:$D$51, 1), 0)+1))</f>
        <v/>
      </c>
      <c r="F60" s="15">
        <f>IF(ROW()-1&gt;SUM(Branches!$C$2:$C$51), "", INDEX(Branches!$B$2:$B$51, IFERROR(MATCH(ROW()-1-0.0001, Branches!$D$2:$D$51, 1), 0)+1))</f>
        <v/>
      </c>
      <c r="G60" s="13">
        <f>IF(B60="","",G59+IF(ISNUMBER(D60),D60,0))</f>
        <v/>
      </c>
    </row>
    <row r="61">
      <c r="A61" s="6">
        <f>IF(F61="","",IF(F61=F60,"",F61))</f>
        <v/>
      </c>
      <c r="B61" s="5">
        <f>IF(F61="","", "BLD"&amp;TEXT(ROW()-1, "000"))</f>
        <v/>
      </c>
      <c r="C61" s="11" t="n"/>
      <c r="D61" s="12" t="n"/>
      <c r="E61" s="14">
        <f>IF(F61="","", INDEX(Branches!$A$2:$A$51, IFERROR(MATCH(ROW()-1-0.0001, Branches!$D$2:$D$51, 1), 0)+1))</f>
        <v/>
      </c>
      <c r="F61" s="15">
        <f>IF(ROW()-1&gt;SUM(Branches!$C$2:$C$51), "", INDEX(Branches!$B$2:$B$51, IFERROR(MATCH(ROW()-1-0.0001, Branches!$D$2:$D$51, 1), 0)+1))</f>
        <v/>
      </c>
      <c r="G61" s="13">
        <f>IF(B61="","",G60+IF(ISNUMBER(D61),D61,0))</f>
        <v/>
      </c>
    </row>
    <row r="62">
      <c r="A62" s="6">
        <f>IF(F62="","",IF(F62=F61,"",F62))</f>
        <v/>
      </c>
      <c r="B62" s="5">
        <f>IF(F62="","", "BLD"&amp;TEXT(ROW()-1, "000"))</f>
        <v/>
      </c>
      <c r="C62" s="11" t="n"/>
      <c r="D62" s="12" t="n"/>
      <c r="E62" s="14">
        <f>IF(F62="","", INDEX(Branches!$A$2:$A$51, IFERROR(MATCH(ROW()-1-0.0001, Branches!$D$2:$D$51, 1), 0)+1))</f>
        <v/>
      </c>
      <c r="F62" s="15">
        <f>IF(ROW()-1&gt;SUM(Branches!$C$2:$C$51), "", INDEX(Branches!$B$2:$B$51, IFERROR(MATCH(ROW()-1-0.0001, Branches!$D$2:$D$51, 1), 0)+1))</f>
        <v/>
      </c>
      <c r="G62" s="13">
        <f>IF(B62="","",G61+IF(ISNUMBER(D62),D62,0))</f>
        <v/>
      </c>
    </row>
    <row r="63">
      <c r="A63" s="6">
        <f>IF(F63="","",IF(F63=F62,"",F63))</f>
        <v/>
      </c>
      <c r="B63" s="5">
        <f>IF(F63="","", "BLD"&amp;TEXT(ROW()-1, "000"))</f>
        <v/>
      </c>
      <c r="C63" s="11" t="n"/>
      <c r="D63" s="12" t="n"/>
      <c r="E63" s="14">
        <f>IF(F63="","", INDEX(Branches!$A$2:$A$51, IFERROR(MATCH(ROW()-1-0.0001, Branches!$D$2:$D$51, 1), 0)+1))</f>
        <v/>
      </c>
      <c r="F63" s="15">
        <f>IF(ROW()-1&gt;SUM(Branches!$C$2:$C$51), "", INDEX(Branches!$B$2:$B$51, IFERROR(MATCH(ROW()-1-0.0001, Branches!$D$2:$D$51, 1), 0)+1))</f>
        <v/>
      </c>
      <c r="G63" s="13">
        <f>IF(B63="","",G62+IF(ISNUMBER(D63),D63,0))</f>
        <v/>
      </c>
    </row>
    <row r="64">
      <c r="A64" s="6">
        <f>IF(F64="","",IF(F64=F63,"",F64))</f>
        <v/>
      </c>
      <c r="B64" s="5">
        <f>IF(F64="","", "BLD"&amp;TEXT(ROW()-1, "000"))</f>
        <v/>
      </c>
      <c r="C64" s="11" t="n"/>
      <c r="D64" s="12" t="n"/>
      <c r="E64" s="14">
        <f>IF(F64="","", INDEX(Branches!$A$2:$A$51, IFERROR(MATCH(ROW()-1-0.0001, Branches!$D$2:$D$51, 1), 0)+1))</f>
        <v/>
      </c>
      <c r="F64" s="15">
        <f>IF(ROW()-1&gt;SUM(Branches!$C$2:$C$51), "", INDEX(Branches!$B$2:$B$51, IFERROR(MATCH(ROW()-1-0.0001, Branches!$D$2:$D$51, 1), 0)+1))</f>
        <v/>
      </c>
      <c r="G64" s="13">
        <f>IF(B64="","",G63+IF(ISNUMBER(D64),D64,0))</f>
        <v/>
      </c>
    </row>
    <row r="65">
      <c r="A65" s="6">
        <f>IF(F65="","",IF(F65=F64,"",F65))</f>
        <v/>
      </c>
      <c r="B65" s="5">
        <f>IF(F65="","", "BLD"&amp;TEXT(ROW()-1, "000"))</f>
        <v/>
      </c>
      <c r="C65" s="11" t="n"/>
      <c r="D65" s="12" t="n"/>
      <c r="E65" s="14">
        <f>IF(F65="","", INDEX(Branches!$A$2:$A$51, IFERROR(MATCH(ROW()-1-0.0001, Branches!$D$2:$D$51, 1), 0)+1))</f>
        <v/>
      </c>
      <c r="F65" s="15">
        <f>IF(ROW()-1&gt;SUM(Branches!$C$2:$C$51), "", INDEX(Branches!$B$2:$B$51, IFERROR(MATCH(ROW()-1-0.0001, Branches!$D$2:$D$51, 1), 0)+1))</f>
        <v/>
      </c>
      <c r="G65" s="13">
        <f>IF(B65="","",G64+IF(ISNUMBER(D65),D65,0))</f>
        <v/>
      </c>
    </row>
    <row r="66">
      <c r="A66" s="6">
        <f>IF(F66="","",IF(F66=F65,"",F66))</f>
        <v/>
      </c>
      <c r="B66" s="5">
        <f>IF(F66="","", "BLD"&amp;TEXT(ROW()-1, "000"))</f>
        <v/>
      </c>
      <c r="C66" s="11" t="n"/>
      <c r="D66" s="12" t="n"/>
      <c r="E66" s="14">
        <f>IF(F66="","", INDEX(Branches!$A$2:$A$51, IFERROR(MATCH(ROW()-1-0.0001, Branches!$D$2:$D$51, 1), 0)+1))</f>
        <v/>
      </c>
      <c r="F66" s="15">
        <f>IF(ROW()-1&gt;SUM(Branches!$C$2:$C$51), "", INDEX(Branches!$B$2:$B$51, IFERROR(MATCH(ROW()-1-0.0001, Branches!$D$2:$D$51, 1), 0)+1))</f>
        <v/>
      </c>
      <c r="G66" s="13">
        <f>IF(B66="","",G65+IF(ISNUMBER(D66),D66,0))</f>
        <v/>
      </c>
    </row>
    <row r="67">
      <c r="A67" s="6">
        <f>IF(F67="","",IF(F67=F66,"",F67))</f>
        <v/>
      </c>
      <c r="B67" s="5">
        <f>IF(F67="","", "BLD"&amp;TEXT(ROW()-1, "000"))</f>
        <v/>
      </c>
      <c r="C67" s="11" t="n"/>
      <c r="D67" s="12" t="n"/>
      <c r="E67" s="14">
        <f>IF(F67="","", INDEX(Branches!$A$2:$A$51, IFERROR(MATCH(ROW()-1-0.0001, Branches!$D$2:$D$51, 1), 0)+1))</f>
        <v/>
      </c>
      <c r="F67" s="15">
        <f>IF(ROW()-1&gt;SUM(Branches!$C$2:$C$51), "", INDEX(Branches!$B$2:$B$51, IFERROR(MATCH(ROW()-1-0.0001, Branches!$D$2:$D$51, 1), 0)+1))</f>
        <v/>
      </c>
      <c r="G67" s="13">
        <f>IF(B67="","",G66+IF(ISNUMBER(D67),D67,0))</f>
        <v/>
      </c>
    </row>
    <row r="68">
      <c r="A68" s="6">
        <f>IF(F68="","",IF(F68=F67,"",F68))</f>
        <v/>
      </c>
      <c r="B68" s="5">
        <f>IF(F68="","", "BLD"&amp;TEXT(ROW()-1, "000"))</f>
        <v/>
      </c>
      <c r="C68" s="11" t="n"/>
      <c r="D68" s="12" t="n"/>
      <c r="E68" s="14">
        <f>IF(F68="","", INDEX(Branches!$A$2:$A$51, IFERROR(MATCH(ROW()-1-0.0001, Branches!$D$2:$D$51, 1), 0)+1))</f>
        <v/>
      </c>
      <c r="F68" s="15">
        <f>IF(ROW()-1&gt;SUM(Branches!$C$2:$C$51), "", INDEX(Branches!$B$2:$B$51, IFERROR(MATCH(ROW()-1-0.0001, Branches!$D$2:$D$51, 1), 0)+1))</f>
        <v/>
      </c>
      <c r="G68" s="13">
        <f>IF(B68="","",G67+IF(ISNUMBER(D68),D68,0))</f>
        <v/>
      </c>
    </row>
    <row r="69">
      <c r="A69" s="6">
        <f>IF(F69="","",IF(F69=F68,"",F69))</f>
        <v/>
      </c>
      <c r="B69" s="5">
        <f>IF(F69="","", "BLD"&amp;TEXT(ROW()-1, "000"))</f>
        <v/>
      </c>
      <c r="C69" s="11" t="n"/>
      <c r="D69" s="12" t="n"/>
      <c r="E69" s="14">
        <f>IF(F69="","", INDEX(Branches!$A$2:$A$51, IFERROR(MATCH(ROW()-1-0.0001, Branches!$D$2:$D$51, 1), 0)+1))</f>
        <v/>
      </c>
      <c r="F69" s="15">
        <f>IF(ROW()-1&gt;SUM(Branches!$C$2:$C$51), "", INDEX(Branches!$B$2:$B$51, IFERROR(MATCH(ROW()-1-0.0001, Branches!$D$2:$D$51, 1), 0)+1))</f>
        <v/>
      </c>
      <c r="G69" s="13">
        <f>IF(B69="","",G68+IF(ISNUMBER(D69),D69,0))</f>
        <v/>
      </c>
    </row>
    <row r="70">
      <c r="A70" s="6">
        <f>IF(F70="","",IF(F70=F69,"",F70))</f>
        <v/>
      </c>
      <c r="B70" s="5">
        <f>IF(F70="","", "BLD"&amp;TEXT(ROW()-1, "000"))</f>
        <v/>
      </c>
      <c r="C70" s="11" t="n"/>
      <c r="D70" s="12" t="n"/>
      <c r="E70" s="14">
        <f>IF(F70="","", INDEX(Branches!$A$2:$A$51, IFERROR(MATCH(ROW()-1-0.0001, Branches!$D$2:$D$51, 1), 0)+1))</f>
        <v/>
      </c>
      <c r="F70" s="15">
        <f>IF(ROW()-1&gt;SUM(Branches!$C$2:$C$51), "", INDEX(Branches!$B$2:$B$51, IFERROR(MATCH(ROW()-1-0.0001, Branches!$D$2:$D$51, 1), 0)+1))</f>
        <v/>
      </c>
      <c r="G70" s="13">
        <f>IF(B70="","",G69+IF(ISNUMBER(D70),D70,0))</f>
        <v/>
      </c>
    </row>
    <row r="71">
      <c r="A71" s="6">
        <f>IF(F71="","",IF(F71=F70,"",F71))</f>
        <v/>
      </c>
      <c r="B71" s="5">
        <f>IF(F71="","", "BLD"&amp;TEXT(ROW()-1, "000"))</f>
        <v/>
      </c>
      <c r="C71" s="11" t="n"/>
      <c r="D71" s="12" t="n"/>
      <c r="E71" s="14">
        <f>IF(F71="","", INDEX(Branches!$A$2:$A$51, IFERROR(MATCH(ROW()-1-0.0001, Branches!$D$2:$D$51, 1), 0)+1))</f>
        <v/>
      </c>
      <c r="F71" s="15">
        <f>IF(ROW()-1&gt;SUM(Branches!$C$2:$C$51), "", INDEX(Branches!$B$2:$B$51, IFERROR(MATCH(ROW()-1-0.0001, Branches!$D$2:$D$51, 1), 0)+1))</f>
        <v/>
      </c>
      <c r="G71" s="13">
        <f>IF(B71="","",G70+IF(ISNUMBER(D71),D71,0))</f>
        <v/>
      </c>
    </row>
    <row r="72">
      <c r="A72" s="6">
        <f>IF(F72="","",IF(F72=F71,"",F72))</f>
        <v/>
      </c>
      <c r="B72" s="5">
        <f>IF(F72="","", "BLD"&amp;TEXT(ROW()-1, "000"))</f>
        <v/>
      </c>
      <c r="C72" s="11" t="n"/>
      <c r="D72" s="12" t="n"/>
      <c r="E72" s="14">
        <f>IF(F72="","", INDEX(Branches!$A$2:$A$51, IFERROR(MATCH(ROW()-1-0.0001, Branches!$D$2:$D$51, 1), 0)+1))</f>
        <v/>
      </c>
      <c r="F72" s="15">
        <f>IF(ROW()-1&gt;SUM(Branches!$C$2:$C$51), "", INDEX(Branches!$B$2:$B$51, IFERROR(MATCH(ROW()-1-0.0001, Branches!$D$2:$D$51, 1), 0)+1))</f>
        <v/>
      </c>
      <c r="G72" s="13">
        <f>IF(B72="","",G71+IF(ISNUMBER(D72),D72,0))</f>
        <v/>
      </c>
    </row>
    <row r="73">
      <c r="A73" s="6">
        <f>IF(F73="","",IF(F73=F72,"",F73))</f>
        <v/>
      </c>
      <c r="B73" s="5">
        <f>IF(F73="","", "BLD"&amp;TEXT(ROW()-1, "000"))</f>
        <v/>
      </c>
      <c r="C73" s="11" t="n"/>
      <c r="D73" s="12" t="n"/>
      <c r="E73" s="14">
        <f>IF(F73="","", INDEX(Branches!$A$2:$A$51, IFERROR(MATCH(ROW()-1-0.0001, Branches!$D$2:$D$51, 1), 0)+1))</f>
        <v/>
      </c>
      <c r="F73" s="15">
        <f>IF(ROW()-1&gt;SUM(Branches!$C$2:$C$51), "", INDEX(Branches!$B$2:$B$51, IFERROR(MATCH(ROW()-1-0.0001, Branches!$D$2:$D$51, 1), 0)+1))</f>
        <v/>
      </c>
      <c r="G73" s="13">
        <f>IF(B73="","",G72+IF(ISNUMBER(D73),D73,0))</f>
        <v/>
      </c>
    </row>
    <row r="74">
      <c r="A74" s="6">
        <f>IF(F74="","",IF(F74=F73,"",F74))</f>
        <v/>
      </c>
      <c r="B74" s="5">
        <f>IF(F74="","", "BLD"&amp;TEXT(ROW()-1, "000"))</f>
        <v/>
      </c>
      <c r="C74" s="11" t="n"/>
      <c r="D74" s="12" t="n"/>
      <c r="E74" s="14">
        <f>IF(F74="","", INDEX(Branches!$A$2:$A$51, IFERROR(MATCH(ROW()-1-0.0001, Branches!$D$2:$D$51, 1), 0)+1))</f>
        <v/>
      </c>
      <c r="F74" s="15">
        <f>IF(ROW()-1&gt;SUM(Branches!$C$2:$C$51), "", INDEX(Branches!$B$2:$B$51, IFERROR(MATCH(ROW()-1-0.0001, Branches!$D$2:$D$51, 1), 0)+1))</f>
        <v/>
      </c>
      <c r="G74" s="13">
        <f>IF(B74="","",G73+IF(ISNUMBER(D74),D74,0))</f>
        <v/>
      </c>
    </row>
    <row r="75">
      <c r="A75" s="6">
        <f>IF(F75="","",IF(F75=F74,"",F75))</f>
        <v/>
      </c>
      <c r="B75" s="5">
        <f>IF(F75="","", "BLD"&amp;TEXT(ROW()-1, "000"))</f>
        <v/>
      </c>
      <c r="C75" s="11" t="n"/>
      <c r="D75" s="12" t="n"/>
      <c r="E75" s="14">
        <f>IF(F75="","", INDEX(Branches!$A$2:$A$51, IFERROR(MATCH(ROW()-1-0.0001, Branches!$D$2:$D$51, 1), 0)+1))</f>
        <v/>
      </c>
      <c r="F75" s="15">
        <f>IF(ROW()-1&gt;SUM(Branches!$C$2:$C$51), "", INDEX(Branches!$B$2:$B$51, IFERROR(MATCH(ROW()-1-0.0001, Branches!$D$2:$D$51, 1), 0)+1))</f>
        <v/>
      </c>
      <c r="G75" s="13">
        <f>IF(B75="","",G74+IF(ISNUMBER(D75),D75,0))</f>
        <v/>
      </c>
    </row>
    <row r="76">
      <c r="A76" s="6">
        <f>IF(F76="","",IF(F76=F75,"",F76))</f>
        <v/>
      </c>
      <c r="B76" s="5">
        <f>IF(F76="","", "BLD"&amp;TEXT(ROW()-1, "000"))</f>
        <v/>
      </c>
      <c r="C76" s="11" t="n"/>
      <c r="D76" s="12" t="n"/>
      <c r="E76" s="14">
        <f>IF(F76="","", INDEX(Branches!$A$2:$A$51, IFERROR(MATCH(ROW()-1-0.0001, Branches!$D$2:$D$51, 1), 0)+1))</f>
        <v/>
      </c>
      <c r="F76" s="15">
        <f>IF(ROW()-1&gt;SUM(Branches!$C$2:$C$51), "", INDEX(Branches!$B$2:$B$51, IFERROR(MATCH(ROW()-1-0.0001, Branches!$D$2:$D$51, 1), 0)+1))</f>
        <v/>
      </c>
      <c r="G76" s="13">
        <f>IF(B76="","",G75+IF(ISNUMBER(D76),D76,0))</f>
        <v/>
      </c>
    </row>
    <row r="77">
      <c r="A77" s="6">
        <f>IF(F77="","",IF(F77=F76,"",F77))</f>
        <v/>
      </c>
      <c r="B77" s="5">
        <f>IF(F77="","", "BLD"&amp;TEXT(ROW()-1, "000"))</f>
        <v/>
      </c>
      <c r="C77" s="11" t="n"/>
      <c r="D77" s="12" t="n"/>
      <c r="E77" s="14">
        <f>IF(F77="","", INDEX(Branches!$A$2:$A$51, IFERROR(MATCH(ROW()-1-0.0001, Branches!$D$2:$D$51, 1), 0)+1))</f>
        <v/>
      </c>
      <c r="F77" s="15">
        <f>IF(ROW()-1&gt;SUM(Branches!$C$2:$C$51), "", INDEX(Branches!$B$2:$B$51, IFERROR(MATCH(ROW()-1-0.0001, Branches!$D$2:$D$51, 1), 0)+1))</f>
        <v/>
      </c>
      <c r="G77" s="13">
        <f>IF(B77="","",G76+IF(ISNUMBER(D77),D77,0))</f>
        <v/>
      </c>
    </row>
    <row r="78">
      <c r="A78" s="6">
        <f>IF(F78="","",IF(F78=F77,"",F78))</f>
        <v/>
      </c>
      <c r="B78" s="5">
        <f>IF(F78="","", "BLD"&amp;TEXT(ROW()-1, "000"))</f>
        <v/>
      </c>
      <c r="C78" s="11" t="n"/>
      <c r="D78" s="12" t="n"/>
      <c r="E78" s="14">
        <f>IF(F78="","", INDEX(Branches!$A$2:$A$51, IFERROR(MATCH(ROW()-1-0.0001, Branches!$D$2:$D$51, 1), 0)+1))</f>
        <v/>
      </c>
      <c r="F78" s="15">
        <f>IF(ROW()-1&gt;SUM(Branches!$C$2:$C$51), "", INDEX(Branches!$B$2:$B$51, IFERROR(MATCH(ROW()-1-0.0001, Branches!$D$2:$D$51, 1), 0)+1))</f>
        <v/>
      </c>
      <c r="G78" s="13">
        <f>IF(B78="","",G77+IF(ISNUMBER(D78),D78,0))</f>
        <v/>
      </c>
    </row>
    <row r="79">
      <c r="A79" s="6">
        <f>IF(F79="","",IF(F79=F78,"",F79))</f>
        <v/>
      </c>
      <c r="B79" s="5">
        <f>IF(F79="","", "BLD"&amp;TEXT(ROW()-1, "000"))</f>
        <v/>
      </c>
      <c r="C79" s="11" t="n"/>
      <c r="D79" s="12" t="n"/>
      <c r="E79" s="14">
        <f>IF(F79="","", INDEX(Branches!$A$2:$A$51, IFERROR(MATCH(ROW()-1-0.0001, Branches!$D$2:$D$51, 1), 0)+1))</f>
        <v/>
      </c>
      <c r="F79" s="15">
        <f>IF(ROW()-1&gt;SUM(Branches!$C$2:$C$51), "", INDEX(Branches!$B$2:$B$51, IFERROR(MATCH(ROW()-1-0.0001, Branches!$D$2:$D$51, 1), 0)+1))</f>
        <v/>
      </c>
      <c r="G79" s="13">
        <f>IF(B79="","",G78+IF(ISNUMBER(D79),D79,0))</f>
        <v/>
      </c>
    </row>
    <row r="80">
      <c r="A80" s="6">
        <f>IF(F80="","",IF(F80=F79,"",F80))</f>
        <v/>
      </c>
      <c r="B80" s="5">
        <f>IF(F80="","", "BLD"&amp;TEXT(ROW()-1, "000"))</f>
        <v/>
      </c>
      <c r="C80" s="11" t="n"/>
      <c r="D80" s="12" t="n"/>
      <c r="E80" s="14">
        <f>IF(F80="","", INDEX(Branches!$A$2:$A$51, IFERROR(MATCH(ROW()-1-0.0001, Branches!$D$2:$D$51, 1), 0)+1))</f>
        <v/>
      </c>
      <c r="F80" s="15">
        <f>IF(ROW()-1&gt;SUM(Branches!$C$2:$C$51), "", INDEX(Branches!$B$2:$B$51, IFERROR(MATCH(ROW()-1-0.0001, Branches!$D$2:$D$51, 1), 0)+1))</f>
        <v/>
      </c>
      <c r="G80" s="13">
        <f>IF(B80="","",G79+IF(ISNUMBER(D80),D80,0))</f>
        <v/>
      </c>
    </row>
    <row r="81">
      <c r="A81" s="6">
        <f>IF(F81="","",IF(F81=F80,"",F81))</f>
        <v/>
      </c>
      <c r="B81" s="5">
        <f>IF(F81="","", "BLD"&amp;TEXT(ROW()-1, "000"))</f>
        <v/>
      </c>
      <c r="C81" s="11" t="n"/>
      <c r="D81" s="12" t="n"/>
      <c r="E81" s="14">
        <f>IF(F81="","", INDEX(Branches!$A$2:$A$51, IFERROR(MATCH(ROW()-1-0.0001, Branches!$D$2:$D$51, 1), 0)+1))</f>
        <v/>
      </c>
      <c r="F81" s="15">
        <f>IF(ROW()-1&gt;SUM(Branches!$C$2:$C$51), "", INDEX(Branches!$B$2:$B$51, IFERROR(MATCH(ROW()-1-0.0001, Branches!$D$2:$D$51, 1), 0)+1))</f>
        <v/>
      </c>
      <c r="G81" s="13">
        <f>IF(B81="","",G80+IF(ISNUMBER(D81),D81,0))</f>
        <v/>
      </c>
    </row>
    <row r="82">
      <c r="A82" s="6">
        <f>IF(F82="","",IF(F82=F81,"",F82))</f>
        <v/>
      </c>
      <c r="B82" s="5">
        <f>IF(F82="","", "BLD"&amp;TEXT(ROW()-1, "000"))</f>
        <v/>
      </c>
      <c r="C82" s="11" t="n"/>
      <c r="D82" s="12" t="n"/>
      <c r="E82" s="14">
        <f>IF(F82="","", INDEX(Branches!$A$2:$A$51, IFERROR(MATCH(ROW()-1-0.0001, Branches!$D$2:$D$51, 1), 0)+1))</f>
        <v/>
      </c>
      <c r="F82" s="15">
        <f>IF(ROW()-1&gt;SUM(Branches!$C$2:$C$51), "", INDEX(Branches!$B$2:$B$51, IFERROR(MATCH(ROW()-1-0.0001, Branches!$D$2:$D$51, 1), 0)+1))</f>
        <v/>
      </c>
      <c r="G82" s="13">
        <f>IF(B82="","",G81+IF(ISNUMBER(D82),D82,0))</f>
        <v/>
      </c>
    </row>
    <row r="83">
      <c r="A83" s="6">
        <f>IF(F83="","",IF(F83=F82,"",F83))</f>
        <v/>
      </c>
      <c r="B83" s="5">
        <f>IF(F83="","", "BLD"&amp;TEXT(ROW()-1, "000"))</f>
        <v/>
      </c>
      <c r="C83" s="11" t="n"/>
      <c r="D83" s="12" t="n"/>
      <c r="E83" s="14">
        <f>IF(F83="","", INDEX(Branches!$A$2:$A$51, IFERROR(MATCH(ROW()-1-0.0001, Branches!$D$2:$D$51, 1), 0)+1))</f>
        <v/>
      </c>
      <c r="F83" s="15">
        <f>IF(ROW()-1&gt;SUM(Branches!$C$2:$C$51), "", INDEX(Branches!$B$2:$B$51, IFERROR(MATCH(ROW()-1-0.0001, Branches!$D$2:$D$51, 1), 0)+1))</f>
        <v/>
      </c>
      <c r="G83" s="13">
        <f>IF(B83="","",G82+IF(ISNUMBER(D83),D83,0))</f>
        <v/>
      </c>
    </row>
    <row r="84">
      <c r="A84" s="6">
        <f>IF(F84="","",IF(F84=F83,"",F84))</f>
        <v/>
      </c>
      <c r="B84" s="5">
        <f>IF(F84="","", "BLD"&amp;TEXT(ROW()-1, "000"))</f>
        <v/>
      </c>
      <c r="C84" s="11" t="n"/>
      <c r="D84" s="12" t="n"/>
      <c r="E84" s="14">
        <f>IF(F84="","", INDEX(Branches!$A$2:$A$51, IFERROR(MATCH(ROW()-1-0.0001, Branches!$D$2:$D$51, 1), 0)+1))</f>
        <v/>
      </c>
      <c r="F84" s="15">
        <f>IF(ROW()-1&gt;SUM(Branches!$C$2:$C$51), "", INDEX(Branches!$B$2:$B$51, IFERROR(MATCH(ROW()-1-0.0001, Branches!$D$2:$D$51, 1), 0)+1))</f>
        <v/>
      </c>
      <c r="G84" s="13">
        <f>IF(B84="","",G83+IF(ISNUMBER(D84),D84,0))</f>
        <v/>
      </c>
    </row>
    <row r="85">
      <c r="A85" s="6">
        <f>IF(F85="","",IF(F85=F84,"",F85))</f>
        <v/>
      </c>
      <c r="B85" s="5">
        <f>IF(F85="","", "BLD"&amp;TEXT(ROW()-1, "000"))</f>
        <v/>
      </c>
      <c r="C85" s="11" t="n"/>
      <c r="D85" s="12" t="n"/>
      <c r="E85" s="14">
        <f>IF(F85="","", INDEX(Branches!$A$2:$A$51, IFERROR(MATCH(ROW()-1-0.0001, Branches!$D$2:$D$51, 1), 0)+1))</f>
        <v/>
      </c>
      <c r="F85" s="15">
        <f>IF(ROW()-1&gt;SUM(Branches!$C$2:$C$51), "", INDEX(Branches!$B$2:$B$51, IFERROR(MATCH(ROW()-1-0.0001, Branches!$D$2:$D$51, 1), 0)+1))</f>
        <v/>
      </c>
      <c r="G85" s="13">
        <f>IF(B85="","",G84+IF(ISNUMBER(D85),D85,0))</f>
        <v/>
      </c>
    </row>
    <row r="86">
      <c r="A86" s="6">
        <f>IF(F86="","",IF(F86=F85,"",F86))</f>
        <v/>
      </c>
      <c r="B86" s="5">
        <f>IF(F86="","", "BLD"&amp;TEXT(ROW()-1, "000"))</f>
        <v/>
      </c>
      <c r="C86" s="11" t="n"/>
      <c r="D86" s="12" t="n"/>
      <c r="E86" s="14">
        <f>IF(F86="","", INDEX(Branches!$A$2:$A$51, IFERROR(MATCH(ROW()-1-0.0001, Branches!$D$2:$D$51, 1), 0)+1))</f>
        <v/>
      </c>
      <c r="F86" s="15">
        <f>IF(ROW()-1&gt;SUM(Branches!$C$2:$C$51), "", INDEX(Branches!$B$2:$B$51, IFERROR(MATCH(ROW()-1-0.0001, Branches!$D$2:$D$51, 1), 0)+1))</f>
        <v/>
      </c>
      <c r="G86" s="13">
        <f>IF(B86="","",G85+IF(ISNUMBER(D86),D86,0))</f>
        <v/>
      </c>
    </row>
    <row r="87">
      <c r="A87" s="6">
        <f>IF(F87="","",IF(F87=F86,"",F87))</f>
        <v/>
      </c>
      <c r="B87" s="5">
        <f>IF(F87="","", "BLD"&amp;TEXT(ROW()-1, "000"))</f>
        <v/>
      </c>
      <c r="C87" s="11" t="n"/>
      <c r="D87" s="12" t="n"/>
      <c r="E87" s="14">
        <f>IF(F87="","", INDEX(Branches!$A$2:$A$51, IFERROR(MATCH(ROW()-1-0.0001, Branches!$D$2:$D$51, 1), 0)+1))</f>
        <v/>
      </c>
      <c r="F87" s="15">
        <f>IF(ROW()-1&gt;SUM(Branches!$C$2:$C$51), "", INDEX(Branches!$B$2:$B$51, IFERROR(MATCH(ROW()-1-0.0001, Branches!$D$2:$D$51, 1), 0)+1))</f>
        <v/>
      </c>
      <c r="G87" s="13">
        <f>IF(B87="","",G86+IF(ISNUMBER(D87),D87,0))</f>
        <v/>
      </c>
    </row>
    <row r="88">
      <c r="A88" s="6">
        <f>IF(F88="","",IF(F88=F87,"",F88))</f>
        <v/>
      </c>
      <c r="B88" s="5">
        <f>IF(F88="","", "BLD"&amp;TEXT(ROW()-1, "000"))</f>
        <v/>
      </c>
      <c r="C88" s="11" t="n"/>
      <c r="D88" s="12" t="n"/>
      <c r="E88" s="14">
        <f>IF(F88="","", INDEX(Branches!$A$2:$A$51, IFERROR(MATCH(ROW()-1-0.0001, Branches!$D$2:$D$51, 1), 0)+1))</f>
        <v/>
      </c>
      <c r="F88" s="15">
        <f>IF(ROW()-1&gt;SUM(Branches!$C$2:$C$51), "", INDEX(Branches!$B$2:$B$51, IFERROR(MATCH(ROW()-1-0.0001, Branches!$D$2:$D$51, 1), 0)+1))</f>
        <v/>
      </c>
      <c r="G88" s="13">
        <f>IF(B88="","",G87+IF(ISNUMBER(D88),D88,0))</f>
        <v/>
      </c>
    </row>
    <row r="89">
      <c r="A89" s="6">
        <f>IF(F89="","",IF(F89=F88,"",F89))</f>
        <v/>
      </c>
      <c r="B89" s="5">
        <f>IF(F89="","", "BLD"&amp;TEXT(ROW()-1, "000"))</f>
        <v/>
      </c>
      <c r="C89" s="11" t="n"/>
      <c r="D89" s="12" t="n"/>
      <c r="E89" s="14">
        <f>IF(F89="","", INDEX(Branches!$A$2:$A$51, IFERROR(MATCH(ROW()-1-0.0001, Branches!$D$2:$D$51, 1), 0)+1))</f>
        <v/>
      </c>
      <c r="F89" s="15">
        <f>IF(ROW()-1&gt;SUM(Branches!$C$2:$C$51), "", INDEX(Branches!$B$2:$B$51, IFERROR(MATCH(ROW()-1-0.0001, Branches!$D$2:$D$51, 1), 0)+1))</f>
        <v/>
      </c>
      <c r="G89" s="13">
        <f>IF(B89="","",G88+IF(ISNUMBER(D89),D89,0))</f>
        <v/>
      </c>
    </row>
    <row r="90">
      <c r="A90" s="6">
        <f>IF(F90="","",IF(F90=F89,"",F90))</f>
        <v/>
      </c>
      <c r="B90" s="5">
        <f>IF(F90="","", "BLD"&amp;TEXT(ROW()-1, "000"))</f>
        <v/>
      </c>
      <c r="C90" s="11" t="n"/>
      <c r="D90" s="12" t="n"/>
      <c r="E90" s="14">
        <f>IF(F90="","", INDEX(Branches!$A$2:$A$51, IFERROR(MATCH(ROW()-1-0.0001, Branches!$D$2:$D$51, 1), 0)+1))</f>
        <v/>
      </c>
      <c r="F90" s="15">
        <f>IF(ROW()-1&gt;SUM(Branches!$C$2:$C$51), "", INDEX(Branches!$B$2:$B$51, IFERROR(MATCH(ROW()-1-0.0001, Branches!$D$2:$D$51, 1), 0)+1))</f>
        <v/>
      </c>
      <c r="G90" s="13">
        <f>IF(B90="","",G89+IF(ISNUMBER(D90),D90,0))</f>
        <v/>
      </c>
    </row>
    <row r="91">
      <c r="A91" s="6">
        <f>IF(F91="","",IF(F91=F90,"",F91))</f>
        <v/>
      </c>
      <c r="B91" s="5">
        <f>IF(F91="","", "BLD"&amp;TEXT(ROW()-1, "000"))</f>
        <v/>
      </c>
      <c r="C91" s="11" t="n"/>
      <c r="D91" s="12" t="n"/>
      <c r="E91" s="14">
        <f>IF(F91="","", INDEX(Branches!$A$2:$A$51, IFERROR(MATCH(ROW()-1-0.0001, Branches!$D$2:$D$51, 1), 0)+1))</f>
        <v/>
      </c>
      <c r="F91" s="15">
        <f>IF(ROW()-1&gt;SUM(Branches!$C$2:$C$51), "", INDEX(Branches!$B$2:$B$51, IFERROR(MATCH(ROW()-1-0.0001, Branches!$D$2:$D$51, 1), 0)+1))</f>
        <v/>
      </c>
      <c r="G91" s="13">
        <f>IF(B91="","",G90+IF(ISNUMBER(D91),D91,0))</f>
        <v/>
      </c>
    </row>
    <row r="92">
      <c r="A92" s="6">
        <f>IF(F92="","",IF(F92=F91,"",F92))</f>
        <v/>
      </c>
      <c r="B92" s="5">
        <f>IF(F92="","", "BLD"&amp;TEXT(ROW()-1, "000"))</f>
        <v/>
      </c>
      <c r="C92" s="11" t="n"/>
      <c r="D92" s="12" t="n"/>
      <c r="E92" s="14">
        <f>IF(F92="","", INDEX(Branches!$A$2:$A$51, IFERROR(MATCH(ROW()-1-0.0001, Branches!$D$2:$D$51, 1), 0)+1))</f>
        <v/>
      </c>
      <c r="F92" s="15">
        <f>IF(ROW()-1&gt;SUM(Branches!$C$2:$C$51), "", INDEX(Branches!$B$2:$B$51, IFERROR(MATCH(ROW()-1-0.0001, Branches!$D$2:$D$51, 1), 0)+1))</f>
        <v/>
      </c>
      <c r="G92" s="13">
        <f>IF(B92="","",G91+IF(ISNUMBER(D92),D92,0))</f>
        <v/>
      </c>
    </row>
    <row r="93">
      <c r="A93" s="6">
        <f>IF(F93="","",IF(F93=F92,"",F93))</f>
        <v/>
      </c>
      <c r="B93" s="5">
        <f>IF(F93="","", "BLD"&amp;TEXT(ROW()-1, "000"))</f>
        <v/>
      </c>
      <c r="C93" s="11" t="n"/>
      <c r="D93" s="12" t="n"/>
      <c r="E93" s="14">
        <f>IF(F93="","", INDEX(Branches!$A$2:$A$51, IFERROR(MATCH(ROW()-1-0.0001, Branches!$D$2:$D$51, 1), 0)+1))</f>
        <v/>
      </c>
      <c r="F93" s="15">
        <f>IF(ROW()-1&gt;SUM(Branches!$C$2:$C$51), "", INDEX(Branches!$B$2:$B$51, IFERROR(MATCH(ROW()-1-0.0001, Branches!$D$2:$D$51, 1), 0)+1))</f>
        <v/>
      </c>
      <c r="G93" s="13">
        <f>IF(B93="","",G92+IF(ISNUMBER(D93),D93,0))</f>
        <v/>
      </c>
    </row>
    <row r="94">
      <c r="A94" s="6">
        <f>IF(F94="","",IF(F94=F93,"",F94))</f>
        <v/>
      </c>
      <c r="B94" s="5">
        <f>IF(F94="","", "BLD"&amp;TEXT(ROW()-1, "000"))</f>
        <v/>
      </c>
      <c r="C94" s="11" t="n"/>
      <c r="D94" s="12" t="n"/>
      <c r="E94" s="14">
        <f>IF(F94="","", INDEX(Branches!$A$2:$A$51, IFERROR(MATCH(ROW()-1-0.0001, Branches!$D$2:$D$51, 1), 0)+1))</f>
        <v/>
      </c>
      <c r="F94" s="15">
        <f>IF(ROW()-1&gt;SUM(Branches!$C$2:$C$51), "", INDEX(Branches!$B$2:$B$51, IFERROR(MATCH(ROW()-1-0.0001, Branches!$D$2:$D$51, 1), 0)+1))</f>
        <v/>
      </c>
      <c r="G94" s="13">
        <f>IF(B94="","",G93+IF(ISNUMBER(D94),D94,0))</f>
        <v/>
      </c>
    </row>
    <row r="95">
      <c r="A95" s="6">
        <f>IF(F95="","",IF(F95=F94,"",F95))</f>
        <v/>
      </c>
      <c r="B95" s="5">
        <f>IF(F95="","", "BLD"&amp;TEXT(ROW()-1, "000"))</f>
        <v/>
      </c>
      <c r="C95" s="11" t="n"/>
      <c r="D95" s="12" t="n"/>
      <c r="E95" s="14">
        <f>IF(F95="","", INDEX(Branches!$A$2:$A$51, IFERROR(MATCH(ROW()-1-0.0001, Branches!$D$2:$D$51, 1), 0)+1))</f>
        <v/>
      </c>
      <c r="F95" s="15">
        <f>IF(ROW()-1&gt;SUM(Branches!$C$2:$C$51), "", INDEX(Branches!$B$2:$B$51, IFERROR(MATCH(ROW()-1-0.0001, Branches!$D$2:$D$51, 1), 0)+1))</f>
        <v/>
      </c>
      <c r="G95" s="13">
        <f>IF(B95="","",G94+IF(ISNUMBER(D95),D95,0))</f>
        <v/>
      </c>
    </row>
    <row r="96">
      <c r="A96" s="6">
        <f>IF(F96="","",IF(F96=F95,"",F96))</f>
        <v/>
      </c>
      <c r="B96" s="5">
        <f>IF(F96="","", "BLD"&amp;TEXT(ROW()-1, "000"))</f>
        <v/>
      </c>
      <c r="C96" s="11" t="n"/>
      <c r="D96" s="12" t="n"/>
      <c r="E96" s="14">
        <f>IF(F96="","", INDEX(Branches!$A$2:$A$51, IFERROR(MATCH(ROW()-1-0.0001, Branches!$D$2:$D$51, 1), 0)+1))</f>
        <v/>
      </c>
      <c r="F96" s="15">
        <f>IF(ROW()-1&gt;SUM(Branches!$C$2:$C$51), "", INDEX(Branches!$B$2:$B$51, IFERROR(MATCH(ROW()-1-0.0001, Branches!$D$2:$D$51, 1), 0)+1))</f>
        <v/>
      </c>
      <c r="G96" s="13">
        <f>IF(B96="","",G95+IF(ISNUMBER(D96),D96,0))</f>
        <v/>
      </c>
    </row>
    <row r="97">
      <c r="A97" s="6">
        <f>IF(F97="","",IF(F97=F96,"",F97))</f>
        <v/>
      </c>
      <c r="B97" s="5">
        <f>IF(F97="","", "BLD"&amp;TEXT(ROW()-1, "000"))</f>
        <v/>
      </c>
      <c r="C97" s="11" t="n"/>
      <c r="D97" s="12" t="n"/>
      <c r="E97" s="14">
        <f>IF(F97="","", INDEX(Branches!$A$2:$A$51, IFERROR(MATCH(ROW()-1-0.0001, Branches!$D$2:$D$51, 1), 0)+1))</f>
        <v/>
      </c>
      <c r="F97" s="15">
        <f>IF(ROW()-1&gt;SUM(Branches!$C$2:$C$51), "", INDEX(Branches!$B$2:$B$51, IFERROR(MATCH(ROW()-1-0.0001, Branches!$D$2:$D$51, 1), 0)+1))</f>
        <v/>
      </c>
      <c r="G97" s="13">
        <f>IF(B97="","",G96+IF(ISNUMBER(D97),D97,0))</f>
        <v/>
      </c>
    </row>
    <row r="98">
      <c r="A98" s="6">
        <f>IF(F98="","",IF(F98=F97,"",F98))</f>
        <v/>
      </c>
      <c r="B98" s="5">
        <f>IF(F98="","", "BLD"&amp;TEXT(ROW()-1, "000"))</f>
        <v/>
      </c>
      <c r="C98" s="11" t="n"/>
      <c r="D98" s="12" t="n"/>
      <c r="E98" s="14">
        <f>IF(F98="","", INDEX(Branches!$A$2:$A$51, IFERROR(MATCH(ROW()-1-0.0001, Branches!$D$2:$D$51, 1), 0)+1))</f>
        <v/>
      </c>
      <c r="F98" s="15">
        <f>IF(ROW()-1&gt;SUM(Branches!$C$2:$C$51), "", INDEX(Branches!$B$2:$B$51, IFERROR(MATCH(ROW()-1-0.0001, Branches!$D$2:$D$51, 1), 0)+1))</f>
        <v/>
      </c>
      <c r="G98" s="13">
        <f>IF(B98="","",G97+IF(ISNUMBER(D98),D98,0))</f>
        <v/>
      </c>
    </row>
    <row r="99">
      <c r="A99" s="6">
        <f>IF(F99="","",IF(F99=F98,"",F99))</f>
        <v/>
      </c>
      <c r="B99" s="5">
        <f>IF(F99="","", "BLD"&amp;TEXT(ROW()-1, "000"))</f>
        <v/>
      </c>
      <c r="C99" s="11" t="n"/>
      <c r="D99" s="12" t="n"/>
      <c r="E99" s="14">
        <f>IF(F99="","", INDEX(Branches!$A$2:$A$51, IFERROR(MATCH(ROW()-1-0.0001, Branches!$D$2:$D$51, 1), 0)+1))</f>
        <v/>
      </c>
      <c r="F99" s="15">
        <f>IF(ROW()-1&gt;SUM(Branches!$C$2:$C$51), "", INDEX(Branches!$B$2:$B$51, IFERROR(MATCH(ROW()-1-0.0001, Branches!$D$2:$D$51, 1), 0)+1))</f>
        <v/>
      </c>
      <c r="G99" s="13">
        <f>IF(B99="","",G98+IF(ISNUMBER(D99),D99,0))</f>
        <v/>
      </c>
    </row>
    <row r="100">
      <c r="A100" s="6">
        <f>IF(F100="","",IF(F100=F99,"",F100))</f>
        <v/>
      </c>
      <c r="B100" s="5">
        <f>IF(F100="","", "BLD"&amp;TEXT(ROW()-1, "000"))</f>
        <v/>
      </c>
      <c r="C100" s="11" t="n"/>
      <c r="D100" s="12" t="n"/>
      <c r="E100" s="14">
        <f>IF(F100="","", INDEX(Branches!$A$2:$A$51, IFERROR(MATCH(ROW()-1-0.0001, Branches!$D$2:$D$51, 1), 0)+1))</f>
        <v/>
      </c>
      <c r="F100" s="15">
        <f>IF(ROW()-1&gt;SUM(Branches!$C$2:$C$51), "", INDEX(Branches!$B$2:$B$51, IFERROR(MATCH(ROW()-1-0.0001, Branches!$D$2:$D$51, 1), 0)+1))</f>
        <v/>
      </c>
      <c r="G100" s="13">
        <f>IF(B100="","",G99+IF(ISNUMBER(D100),D100,0))</f>
        <v/>
      </c>
    </row>
    <row r="101">
      <c r="A101" s="6">
        <f>IF(F101="","",IF(F101=F100,"",F101))</f>
        <v/>
      </c>
      <c r="B101" s="5">
        <f>IF(F101="","", "BLD"&amp;TEXT(ROW()-1, "000"))</f>
        <v/>
      </c>
      <c r="C101" s="11" t="n"/>
      <c r="D101" s="12" t="n"/>
      <c r="E101" s="14">
        <f>IF(F101="","", INDEX(Branches!$A$2:$A$51, IFERROR(MATCH(ROW()-1-0.0001, Branches!$D$2:$D$51, 1), 0)+1))</f>
        <v/>
      </c>
      <c r="F101" s="15">
        <f>IF(ROW()-1&gt;SUM(Branches!$C$2:$C$51), "", INDEX(Branches!$B$2:$B$51, IFERROR(MATCH(ROW()-1-0.0001, Branches!$D$2:$D$51, 1), 0)+1))</f>
        <v/>
      </c>
      <c r="G101" s="13">
        <f>IF(B101="","",G100+IF(ISNUMBER(D101),D101,0))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1"/>
  <sheetViews>
    <sheetView showGridLines="1" workbookViewId="0">
      <selection activeCell="A1" sqref="A1"/>
    </sheetView>
  </sheetViews>
  <sheetFormatPr baseColWidth="8" defaultRowHeight="15"/>
  <cols>
    <col width="26" customWidth="1" min="1" max="1"/>
    <col width="18" customWidth="1" min="2" max="2"/>
    <col width="28" customWidth="1" min="3" max="3"/>
    <col width="20" customWidth="1" min="4" max="4"/>
    <col width="56"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s>
  <sheetData>
    <row r="1">
      <c r="A1" s="3" t="inlineStr">
        <is>
          <t>Branch Name</t>
        </is>
      </c>
      <c r="B1" s="3" t="inlineStr">
        <is>
          <t>Building ID</t>
        </is>
      </c>
      <c r="C1" s="3" t="inlineStr">
        <is>
          <t>Building Name</t>
        </is>
      </c>
      <c r="D1" s="3" t="inlineStr">
        <is>
          <t>Floor ID</t>
        </is>
      </c>
      <c r="E1" s="4" t="inlineStr">
        <is>
          <t>Number of Sections (Max 4: East, West, North, South)</t>
        </is>
      </c>
      <c r="F1" s="10" t="inlineStr">
        <is>
          <t>[Helper] Real Branch Name</t>
        </is>
      </c>
      <c r="G1" s="10" t="inlineStr">
        <is>
          <t>[Helper] Real Building ID</t>
        </is>
      </c>
      <c r="H1" s="10" t="inlineStr">
        <is>
          <t>[Helper] Real Building Name</t>
        </is>
      </c>
      <c r="I1" s="10" t="inlineStr">
        <is>
          <t>[Helper] Building Num</t>
        </is>
      </c>
      <c r="J1" s="10" t="inlineStr">
        <is>
          <t>[Helper] Floor Num</t>
        </is>
      </c>
      <c r="K1" s="10" t="inlineStr">
        <is>
          <t>[Helper] Floor Name</t>
        </is>
      </c>
      <c r="L1" s="10" t="inlineStr">
        <is>
          <t>[Helper] Cum Sections</t>
        </is>
      </c>
    </row>
    <row r="2">
      <c r="A2" s="6">
        <f>IF(F2="","",F2)</f>
        <v/>
      </c>
      <c r="B2" s="5">
        <f>IF(G2="","",G2)</f>
        <v/>
      </c>
      <c r="C2" s="6">
        <f>IF(H2="","",H2)</f>
        <v/>
      </c>
      <c r="D2" s="5">
        <f>IF(G2="","", I2 &amp; "-FL" &amp; TEXT(J2, "00"))</f>
        <v/>
      </c>
      <c r="E2" s="12" t="n"/>
      <c r="F2" s="15">
        <f>IF(ROW()-1&gt;SUM(Buildings!$D$2:$D$101), "", INDEX(Buildings!$F$2:$F$101, IFERROR(MATCH(ROW()-1-0.0001, Buildings!$G$2:$G$101, 1), 0)+1))</f>
        <v/>
      </c>
      <c r="G2" s="14">
        <f>IF(ROW()-1&gt;SUM(Buildings!$D$2:$D$101), "", INDEX(Buildings!$B$2:$B$101, IFERROR(MATCH(ROW()-1-0.0001, Buildings!$G$2:$G$101, 1), 0)+1))</f>
        <v/>
      </c>
      <c r="H2" s="15">
        <f>IF(ROW()-1&gt;SUM(Buildings!$D$2:$D$101), "", INDEX(Buildings!$C$2:$C$101, IFERROR(MATCH(ROW()-1-0.0001, Buildings!$G$2:$G$101, 1), 0)+1))</f>
        <v/>
      </c>
      <c r="I2" s="14">
        <f>IF(G2="","",VALUE(SUBSTITUTE(G2,"BLD","")))</f>
        <v/>
      </c>
      <c r="J2" s="14">
        <f>IF(G2="","", (ROW()-1)-IFERROR(INDEX(Buildings!$G$2:$G$101, MATCH(ROW()-1-0.0001, Buildings!$G$2:$G$101, 1)), 0))</f>
        <v/>
      </c>
      <c r="K2" s="15">
        <f>IF(G2="","", CHOOSE(MIN(J2, 10), "First", "Second", "Third", "Fourth", "Fifth", "Sixth", "Seventh", "Eighth", "Ninth", "Tenth") &amp; " Floor")</f>
        <v/>
      </c>
      <c r="L2" s="13">
        <f>IF(G2="","",IF(ISNUMBER(E2),E2,0))</f>
        <v/>
      </c>
    </row>
    <row r="3">
      <c r="A3" s="6">
        <f>IF(F3="","",IF(F3=F2,"",F3))</f>
        <v/>
      </c>
      <c r="B3" s="5">
        <f>IF(G3="","",IF(G3=G2,"",G3))</f>
        <v/>
      </c>
      <c r="C3" s="6">
        <f>IF(H3="","",IF(H3=H2,"",H3))</f>
        <v/>
      </c>
      <c r="D3" s="5">
        <f>IF(G3="","", I3 &amp; "-FL" &amp; TEXT(J3, "00"))</f>
        <v/>
      </c>
      <c r="E3" s="12" t="n"/>
      <c r="F3" s="15">
        <f>IF(ROW()-1&gt;SUM(Buildings!$D$2:$D$101), "", INDEX(Buildings!$F$2:$F$101, IFERROR(MATCH(ROW()-1-0.0001, Buildings!$G$2:$G$101, 1), 0)+1))</f>
        <v/>
      </c>
      <c r="G3" s="14">
        <f>IF(ROW()-1&gt;SUM(Buildings!$D$2:$D$101), "", INDEX(Buildings!$B$2:$B$101, IFERROR(MATCH(ROW()-1-0.0001, Buildings!$G$2:$G$101, 1), 0)+1))</f>
        <v/>
      </c>
      <c r="H3" s="15">
        <f>IF(ROW()-1&gt;SUM(Buildings!$D$2:$D$101), "", INDEX(Buildings!$C$2:$C$101, IFERROR(MATCH(ROW()-1-0.0001, Buildings!$G$2:$G$101, 1), 0)+1))</f>
        <v/>
      </c>
      <c r="I3" s="14">
        <f>IF(G3="","",VALUE(SUBSTITUTE(G3,"BLD","")))</f>
        <v/>
      </c>
      <c r="J3" s="14">
        <f>IF(G3="","", (ROW()-1)-IFERROR(INDEX(Buildings!$G$2:$G$101, MATCH(ROW()-1-0.0001, Buildings!$G$2:$G$101, 1)), 0))</f>
        <v/>
      </c>
      <c r="K3" s="15">
        <f>IF(G3="","", CHOOSE(MIN(J3, 10), "First", "Second", "Third", "Fourth", "Fifth", "Sixth", "Seventh", "Eighth", "Ninth", "Tenth") &amp; " Floor")</f>
        <v/>
      </c>
      <c r="L3" s="13">
        <f>IF(G3="","",L2+IF(ISNUMBER(E3),E3,0))</f>
        <v/>
      </c>
    </row>
    <row r="4">
      <c r="A4" s="6">
        <f>IF(F4="","",IF(F4=F3,"",F4))</f>
        <v/>
      </c>
      <c r="B4" s="5">
        <f>IF(G4="","",IF(G4=G3,"",G4))</f>
        <v/>
      </c>
      <c r="C4" s="6">
        <f>IF(H4="","",IF(H4=H3,"",H4))</f>
        <v/>
      </c>
      <c r="D4" s="5">
        <f>IF(G4="","", I4 &amp; "-FL" &amp; TEXT(J4, "00"))</f>
        <v/>
      </c>
      <c r="E4" s="12" t="n"/>
      <c r="F4" s="15">
        <f>IF(ROW()-1&gt;SUM(Buildings!$D$2:$D$101), "", INDEX(Buildings!$F$2:$F$101, IFERROR(MATCH(ROW()-1-0.0001, Buildings!$G$2:$G$101, 1), 0)+1))</f>
        <v/>
      </c>
      <c r="G4" s="14">
        <f>IF(ROW()-1&gt;SUM(Buildings!$D$2:$D$101), "", INDEX(Buildings!$B$2:$B$101, IFERROR(MATCH(ROW()-1-0.0001, Buildings!$G$2:$G$101, 1), 0)+1))</f>
        <v/>
      </c>
      <c r="H4" s="15">
        <f>IF(ROW()-1&gt;SUM(Buildings!$D$2:$D$101), "", INDEX(Buildings!$C$2:$C$101, IFERROR(MATCH(ROW()-1-0.0001, Buildings!$G$2:$G$101, 1), 0)+1))</f>
        <v/>
      </c>
      <c r="I4" s="14">
        <f>IF(G4="","",VALUE(SUBSTITUTE(G4,"BLD","")))</f>
        <v/>
      </c>
      <c r="J4" s="14">
        <f>IF(G4="","", (ROW()-1)-IFERROR(INDEX(Buildings!$G$2:$G$101, MATCH(ROW()-1-0.0001, Buildings!$G$2:$G$101, 1)), 0))</f>
        <v/>
      </c>
      <c r="K4" s="15">
        <f>IF(G4="","", CHOOSE(MIN(J4, 10), "First", "Second", "Third", "Fourth", "Fifth", "Sixth", "Seventh", "Eighth", "Ninth", "Tenth") &amp; " Floor")</f>
        <v/>
      </c>
      <c r="L4" s="13">
        <f>IF(G4="","",L3+IF(ISNUMBER(E4),E4,0))</f>
        <v/>
      </c>
    </row>
    <row r="5">
      <c r="A5" s="6">
        <f>IF(F5="","",IF(F5=F4,"",F5))</f>
        <v/>
      </c>
      <c r="B5" s="5">
        <f>IF(G5="","",IF(G5=G4,"",G5))</f>
        <v/>
      </c>
      <c r="C5" s="6">
        <f>IF(H5="","",IF(H5=H4,"",H5))</f>
        <v/>
      </c>
      <c r="D5" s="5">
        <f>IF(G5="","", I5 &amp; "-FL" &amp; TEXT(J5, "00"))</f>
        <v/>
      </c>
      <c r="E5" s="12" t="n"/>
      <c r="F5" s="15">
        <f>IF(ROW()-1&gt;SUM(Buildings!$D$2:$D$101), "", INDEX(Buildings!$F$2:$F$101, IFERROR(MATCH(ROW()-1-0.0001, Buildings!$G$2:$G$101, 1), 0)+1))</f>
        <v/>
      </c>
      <c r="G5" s="14">
        <f>IF(ROW()-1&gt;SUM(Buildings!$D$2:$D$101), "", INDEX(Buildings!$B$2:$B$101, IFERROR(MATCH(ROW()-1-0.0001, Buildings!$G$2:$G$101, 1), 0)+1))</f>
        <v/>
      </c>
      <c r="H5" s="15">
        <f>IF(ROW()-1&gt;SUM(Buildings!$D$2:$D$101), "", INDEX(Buildings!$C$2:$C$101, IFERROR(MATCH(ROW()-1-0.0001, Buildings!$G$2:$G$101, 1), 0)+1))</f>
        <v/>
      </c>
      <c r="I5" s="14">
        <f>IF(G5="","",VALUE(SUBSTITUTE(G5,"BLD","")))</f>
        <v/>
      </c>
      <c r="J5" s="14">
        <f>IF(G5="","", (ROW()-1)-IFERROR(INDEX(Buildings!$G$2:$G$101, MATCH(ROW()-1-0.0001, Buildings!$G$2:$G$101, 1)), 0))</f>
        <v/>
      </c>
      <c r="K5" s="15">
        <f>IF(G5="","", CHOOSE(MIN(J5, 10), "First", "Second", "Third", "Fourth", "Fifth", "Sixth", "Seventh", "Eighth", "Ninth", "Tenth") &amp; " Floor")</f>
        <v/>
      </c>
      <c r="L5" s="13">
        <f>IF(G5="","",L4+IF(ISNUMBER(E5),E5,0))</f>
        <v/>
      </c>
    </row>
    <row r="6">
      <c r="A6" s="6">
        <f>IF(F6="","",IF(F6=F5,"",F6))</f>
        <v/>
      </c>
      <c r="B6" s="5">
        <f>IF(G6="","",IF(G6=G5,"",G6))</f>
        <v/>
      </c>
      <c r="C6" s="6">
        <f>IF(H6="","",IF(H6=H5,"",H6))</f>
        <v/>
      </c>
      <c r="D6" s="5">
        <f>IF(G6="","", I6 &amp; "-FL" &amp; TEXT(J6, "00"))</f>
        <v/>
      </c>
      <c r="E6" s="12" t="n"/>
      <c r="F6" s="15">
        <f>IF(ROW()-1&gt;SUM(Buildings!$D$2:$D$101), "", INDEX(Buildings!$F$2:$F$101, IFERROR(MATCH(ROW()-1-0.0001, Buildings!$G$2:$G$101, 1), 0)+1))</f>
        <v/>
      </c>
      <c r="G6" s="14">
        <f>IF(ROW()-1&gt;SUM(Buildings!$D$2:$D$101), "", INDEX(Buildings!$B$2:$B$101, IFERROR(MATCH(ROW()-1-0.0001, Buildings!$G$2:$G$101, 1), 0)+1))</f>
        <v/>
      </c>
      <c r="H6" s="15">
        <f>IF(ROW()-1&gt;SUM(Buildings!$D$2:$D$101), "", INDEX(Buildings!$C$2:$C$101, IFERROR(MATCH(ROW()-1-0.0001, Buildings!$G$2:$G$101, 1), 0)+1))</f>
        <v/>
      </c>
      <c r="I6" s="14">
        <f>IF(G6="","",VALUE(SUBSTITUTE(G6,"BLD","")))</f>
        <v/>
      </c>
      <c r="J6" s="14">
        <f>IF(G6="","", (ROW()-1)-IFERROR(INDEX(Buildings!$G$2:$G$101, MATCH(ROW()-1-0.0001, Buildings!$G$2:$G$101, 1)), 0))</f>
        <v/>
      </c>
      <c r="K6" s="15">
        <f>IF(G6="","", CHOOSE(MIN(J6, 10), "First", "Second", "Third", "Fourth", "Fifth", "Sixth", "Seventh", "Eighth", "Ninth", "Tenth") &amp; " Floor")</f>
        <v/>
      </c>
      <c r="L6" s="13">
        <f>IF(G6="","",L5+IF(ISNUMBER(E6),E6,0))</f>
        <v/>
      </c>
    </row>
    <row r="7">
      <c r="A7" s="6">
        <f>IF(F7="","",IF(F7=F6,"",F7))</f>
        <v/>
      </c>
      <c r="B7" s="5">
        <f>IF(G7="","",IF(G7=G6,"",G7))</f>
        <v/>
      </c>
      <c r="C7" s="6">
        <f>IF(H7="","",IF(H7=H6,"",H7))</f>
        <v/>
      </c>
      <c r="D7" s="5">
        <f>IF(G7="","", I7 &amp; "-FL" &amp; TEXT(J7, "00"))</f>
        <v/>
      </c>
      <c r="E7" s="12" t="n"/>
      <c r="F7" s="15">
        <f>IF(ROW()-1&gt;SUM(Buildings!$D$2:$D$101), "", INDEX(Buildings!$F$2:$F$101, IFERROR(MATCH(ROW()-1-0.0001, Buildings!$G$2:$G$101, 1), 0)+1))</f>
        <v/>
      </c>
      <c r="G7" s="14">
        <f>IF(ROW()-1&gt;SUM(Buildings!$D$2:$D$101), "", INDEX(Buildings!$B$2:$B$101, IFERROR(MATCH(ROW()-1-0.0001, Buildings!$G$2:$G$101, 1), 0)+1))</f>
        <v/>
      </c>
      <c r="H7" s="15">
        <f>IF(ROW()-1&gt;SUM(Buildings!$D$2:$D$101), "", INDEX(Buildings!$C$2:$C$101, IFERROR(MATCH(ROW()-1-0.0001, Buildings!$G$2:$G$101, 1), 0)+1))</f>
        <v/>
      </c>
      <c r="I7" s="14">
        <f>IF(G7="","",VALUE(SUBSTITUTE(G7,"BLD","")))</f>
        <v/>
      </c>
      <c r="J7" s="14">
        <f>IF(G7="","", (ROW()-1)-IFERROR(INDEX(Buildings!$G$2:$G$101, MATCH(ROW()-1-0.0001, Buildings!$G$2:$G$101, 1)), 0))</f>
        <v/>
      </c>
      <c r="K7" s="15">
        <f>IF(G7="","", CHOOSE(MIN(J7, 10), "First", "Second", "Third", "Fourth", "Fifth", "Sixth", "Seventh", "Eighth", "Ninth", "Tenth") &amp; " Floor")</f>
        <v/>
      </c>
      <c r="L7" s="13">
        <f>IF(G7="","",L6+IF(ISNUMBER(E7),E7,0))</f>
        <v/>
      </c>
    </row>
    <row r="8">
      <c r="A8" s="6">
        <f>IF(F8="","",IF(F8=F7,"",F8))</f>
        <v/>
      </c>
      <c r="B8" s="5">
        <f>IF(G8="","",IF(G8=G7,"",G8))</f>
        <v/>
      </c>
      <c r="C8" s="6">
        <f>IF(H8="","",IF(H8=H7,"",H8))</f>
        <v/>
      </c>
      <c r="D8" s="5">
        <f>IF(G8="","", I8 &amp; "-FL" &amp; TEXT(J8, "00"))</f>
        <v/>
      </c>
      <c r="E8" s="12" t="n"/>
      <c r="F8" s="15">
        <f>IF(ROW()-1&gt;SUM(Buildings!$D$2:$D$101), "", INDEX(Buildings!$F$2:$F$101, IFERROR(MATCH(ROW()-1-0.0001, Buildings!$G$2:$G$101, 1), 0)+1))</f>
        <v/>
      </c>
      <c r="G8" s="14">
        <f>IF(ROW()-1&gt;SUM(Buildings!$D$2:$D$101), "", INDEX(Buildings!$B$2:$B$101, IFERROR(MATCH(ROW()-1-0.0001, Buildings!$G$2:$G$101, 1), 0)+1))</f>
        <v/>
      </c>
      <c r="H8" s="15">
        <f>IF(ROW()-1&gt;SUM(Buildings!$D$2:$D$101), "", INDEX(Buildings!$C$2:$C$101, IFERROR(MATCH(ROW()-1-0.0001, Buildings!$G$2:$G$101, 1), 0)+1))</f>
        <v/>
      </c>
      <c r="I8" s="14">
        <f>IF(G8="","",VALUE(SUBSTITUTE(G8,"BLD","")))</f>
        <v/>
      </c>
      <c r="J8" s="14">
        <f>IF(G8="","", (ROW()-1)-IFERROR(INDEX(Buildings!$G$2:$G$101, MATCH(ROW()-1-0.0001, Buildings!$G$2:$G$101, 1)), 0))</f>
        <v/>
      </c>
      <c r="K8" s="15">
        <f>IF(G8="","", CHOOSE(MIN(J8, 10), "First", "Second", "Third", "Fourth", "Fifth", "Sixth", "Seventh", "Eighth", "Ninth", "Tenth") &amp; " Floor")</f>
        <v/>
      </c>
      <c r="L8" s="13">
        <f>IF(G8="","",L7+IF(ISNUMBER(E8),E8,0))</f>
        <v/>
      </c>
    </row>
    <row r="9">
      <c r="A9" s="6">
        <f>IF(F9="","",IF(F9=F8,"",F9))</f>
        <v/>
      </c>
      <c r="B9" s="5">
        <f>IF(G9="","",IF(G9=G8,"",G9))</f>
        <v/>
      </c>
      <c r="C9" s="6">
        <f>IF(H9="","",IF(H9=H8,"",H9))</f>
        <v/>
      </c>
      <c r="D9" s="5">
        <f>IF(G9="","", I9 &amp; "-FL" &amp; TEXT(J9, "00"))</f>
        <v/>
      </c>
      <c r="E9" s="12" t="n"/>
      <c r="F9" s="15">
        <f>IF(ROW()-1&gt;SUM(Buildings!$D$2:$D$101), "", INDEX(Buildings!$F$2:$F$101, IFERROR(MATCH(ROW()-1-0.0001, Buildings!$G$2:$G$101, 1), 0)+1))</f>
        <v/>
      </c>
      <c r="G9" s="14">
        <f>IF(ROW()-1&gt;SUM(Buildings!$D$2:$D$101), "", INDEX(Buildings!$B$2:$B$101, IFERROR(MATCH(ROW()-1-0.0001, Buildings!$G$2:$G$101, 1), 0)+1))</f>
        <v/>
      </c>
      <c r="H9" s="15">
        <f>IF(ROW()-1&gt;SUM(Buildings!$D$2:$D$101), "", INDEX(Buildings!$C$2:$C$101, IFERROR(MATCH(ROW()-1-0.0001, Buildings!$G$2:$G$101, 1), 0)+1))</f>
        <v/>
      </c>
      <c r="I9" s="14">
        <f>IF(G9="","",VALUE(SUBSTITUTE(G9,"BLD","")))</f>
        <v/>
      </c>
      <c r="J9" s="14">
        <f>IF(G9="","", (ROW()-1)-IFERROR(INDEX(Buildings!$G$2:$G$101, MATCH(ROW()-1-0.0001, Buildings!$G$2:$G$101, 1)), 0))</f>
        <v/>
      </c>
      <c r="K9" s="15">
        <f>IF(G9="","", CHOOSE(MIN(J9, 10), "First", "Second", "Third", "Fourth", "Fifth", "Sixth", "Seventh", "Eighth", "Ninth", "Tenth") &amp; " Floor")</f>
        <v/>
      </c>
      <c r="L9" s="13">
        <f>IF(G9="","",L8+IF(ISNUMBER(E9),E9,0))</f>
        <v/>
      </c>
    </row>
    <row r="10">
      <c r="A10" s="6">
        <f>IF(F10="","",IF(F10=F9,"",F10))</f>
        <v/>
      </c>
      <c r="B10" s="5">
        <f>IF(G10="","",IF(G10=G9,"",G10))</f>
        <v/>
      </c>
      <c r="C10" s="6">
        <f>IF(H10="","",IF(H10=H9,"",H10))</f>
        <v/>
      </c>
      <c r="D10" s="5">
        <f>IF(G10="","", I10 &amp; "-FL" &amp; TEXT(J10, "00"))</f>
        <v/>
      </c>
      <c r="E10" s="12" t="n"/>
      <c r="F10" s="15">
        <f>IF(ROW()-1&gt;SUM(Buildings!$D$2:$D$101), "", INDEX(Buildings!$F$2:$F$101, IFERROR(MATCH(ROW()-1-0.0001, Buildings!$G$2:$G$101, 1), 0)+1))</f>
        <v/>
      </c>
      <c r="G10" s="14">
        <f>IF(ROW()-1&gt;SUM(Buildings!$D$2:$D$101), "", INDEX(Buildings!$B$2:$B$101, IFERROR(MATCH(ROW()-1-0.0001, Buildings!$G$2:$G$101, 1), 0)+1))</f>
        <v/>
      </c>
      <c r="H10" s="15">
        <f>IF(ROW()-1&gt;SUM(Buildings!$D$2:$D$101), "", INDEX(Buildings!$C$2:$C$101, IFERROR(MATCH(ROW()-1-0.0001, Buildings!$G$2:$G$101, 1), 0)+1))</f>
        <v/>
      </c>
      <c r="I10" s="14">
        <f>IF(G10="","",VALUE(SUBSTITUTE(G10,"BLD","")))</f>
        <v/>
      </c>
      <c r="J10" s="14">
        <f>IF(G10="","", (ROW()-1)-IFERROR(INDEX(Buildings!$G$2:$G$101, MATCH(ROW()-1-0.0001, Buildings!$G$2:$G$101, 1)), 0))</f>
        <v/>
      </c>
      <c r="K10" s="15">
        <f>IF(G10="","", CHOOSE(MIN(J10, 10), "First", "Second", "Third", "Fourth", "Fifth", "Sixth", "Seventh", "Eighth", "Ninth", "Tenth") &amp; " Floor")</f>
        <v/>
      </c>
      <c r="L10" s="13">
        <f>IF(G10="","",L9+IF(ISNUMBER(E10),E10,0))</f>
        <v/>
      </c>
    </row>
    <row r="11">
      <c r="A11" s="6">
        <f>IF(F11="","",IF(F11=F10,"",F11))</f>
        <v/>
      </c>
      <c r="B11" s="5">
        <f>IF(G11="","",IF(G11=G10,"",G11))</f>
        <v/>
      </c>
      <c r="C11" s="6">
        <f>IF(H11="","",IF(H11=H10,"",H11))</f>
        <v/>
      </c>
      <c r="D11" s="5">
        <f>IF(G11="","", I11 &amp; "-FL" &amp; TEXT(J11, "00"))</f>
        <v/>
      </c>
      <c r="E11" s="12" t="n"/>
      <c r="F11" s="15">
        <f>IF(ROW()-1&gt;SUM(Buildings!$D$2:$D$101), "", INDEX(Buildings!$F$2:$F$101, IFERROR(MATCH(ROW()-1-0.0001, Buildings!$G$2:$G$101, 1), 0)+1))</f>
        <v/>
      </c>
      <c r="G11" s="14">
        <f>IF(ROW()-1&gt;SUM(Buildings!$D$2:$D$101), "", INDEX(Buildings!$B$2:$B$101, IFERROR(MATCH(ROW()-1-0.0001, Buildings!$G$2:$G$101, 1), 0)+1))</f>
        <v/>
      </c>
      <c r="H11" s="15">
        <f>IF(ROW()-1&gt;SUM(Buildings!$D$2:$D$101), "", INDEX(Buildings!$C$2:$C$101, IFERROR(MATCH(ROW()-1-0.0001, Buildings!$G$2:$G$101, 1), 0)+1))</f>
        <v/>
      </c>
      <c r="I11" s="14">
        <f>IF(G11="","",VALUE(SUBSTITUTE(G11,"BLD","")))</f>
        <v/>
      </c>
      <c r="J11" s="14">
        <f>IF(G11="","", (ROW()-1)-IFERROR(INDEX(Buildings!$G$2:$G$101, MATCH(ROW()-1-0.0001, Buildings!$G$2:$G$101, 1)), 0))</f>
        <v/>
      </c>
      <c r="K11" s="15">
        <f>IF(G11="","", CHOOSE(MIN(J11, 10), "First", "Second", "Third", "Fourth", "Fifth", "Sixth", "Seventh", "Eighth", "Ninth", "Tenth") &amp; " Floor")</f>
        <v/>
      </c>
      <c r="L11" s="13">
        <f>IF(G11="","",L10+IF(ISNUMBER(E11),E11,0))</f>
        <v/>
      </c>
    </row>
    <row r="12">
      <c r="A12" s="6">
        <f>IF(F12="","",IF(F12=F11,"",F12))</f>
        <v/>
      </c>
      <c r="B12" s="5">
        <f>IF(G12="","",IF(G12=G11,"",G12))</f>
        <v/>
      </c>
      <c r="C12" s="6">
        <f>IF(H12="","",IF(H12=H11,"",H12))</f>
        <v/>
      </c>
      <c r="D12" s="5">
        <f>IF(G12="","", I12 &amp; "-FL" &amp; TEXT(J12, "00"))</f>
        <v/>
      </c>
      <c r="E12" s="12" t="n"/>
      <c r="F12" s="15">
        <f>IF(ROW()-1&gt;SUM(Buildings!$D$2:$D$101), "", INDEX(Buildings!$F$2:$F$101, IFERROR(MATCH(ROW()-1-0.0001, Buildings!$G$2:$G$101, 1), 0)+1))</f>
        <v/>
      </c>
      <c r="G12" s="14">
        <f>IF(ROW()-1&gt;SUM(Buildings!$D$2:$D$101), "", INDEX(Buildings!$B$2:$B$101, IFERROR(MATCH(ROW()-1-0.0001, Buildings!$G$2:$G$101, 1), 0)+1))</f>
        <v/>
      </c>
      <c r="H12" s="15">
        <f>IF(ROW()-1&gt;SUM(Buildings!$D$2:$D$101), "", INDEX(Buildings!$C$2:$C$101, IFERROR(MATCH(ROW()-1-0.0001, Buildings!$G$2:$G$101, 1), 0)+1))</f>
        <v/>
      </c>
      <c r="I12" s="14">
        <f>IF(G12="","",VALUE(SUBSTITUTE(G12,"BLD","")))</f>
        <v/>
      </c>
      <c r="J12" s="14">
        <f>IF(G12="","", (ROW()-1)-IFERROR(INDEX(Buildings!$G$2:$G$101, MATCH(ROW()-1-0.0001, Buildings!$G$2:$G$101, 1)), 0))</f>
        <v/>
      </c>
      <c r="K12" s="15">
        <f>IF(G12="","", CHOOSE(MIN(J12, 10), "First", "Second", "Third", "Fourth", "Fifth", "Sixth", "Seventh", "Eighth", "Ninth", "Tenth") &amp; " Floor")</f>
        <v/>
      </c>
      <c r="L12" s="13">
        <f>IF(G12="","",L11+IF(ISNUMBER(E12),E12,0))</f>
        <v/>
      </c>
    </row>
    <row r="13">
      <c r="A13" s="6">
        <f>IF(F13="","",IF(F13=F12,"",F13))</f>
        <v/>
      </c>
      <c r="B13" s="5">
        <f>IF(G13="","",IF(G13=G12,"",G13))</f>
        <v/>
      </c>
      <c r="C13" s="6">
        <f>IF(H13="","",IF(H13=H12,"",H13))</f>
        <v/>
      </c>
      <c r="D13" s="5">
        <f>IF(G13="","", I13 &amp; "-FL" &amp; TEXT(J13, "00"))</f>
        <v/>
      </c>
      <c r="E13" s="12" t="n"/>
      <c r="F13" s="15">
        <f>IF(ROW()-1&gt;SUM(Buildings!$D$2:$D$101), "", INDEX(Buildings!$F$2:$F$101, IFERROR(MATCH(ROW()-1-0.0001, Buildings!$G$2:$G$101, 1), 0)+1))</f>
        <v/>
      </c>
      <c r="G13" s="14">
        <f>IF(ROW()-1&gt;SUM(Buildings!$D$2:$D$101), "", INDEX(Buildings!$B$2:$B$101, IFERROR(MATCH(ROW()-1-0.0001, Buildings!$G$2:$G$101, 1), 0)+1))</f>
        <v/>
      </c>
      <c r="H13" s="15">
        <f>IF(ROW()-1&gt;SUM(Buildings!$D$2:$D$101), "", INDEX(Buildings!$C$2:$C$101, IFERROR(MATCH(ROW()-1-0.0001, Buildings!$G$2:$G$101, 1), 0)+1))</f>
        <v/>
      </c>
      <c r="I13" s="14">
        <f>IF(G13="","",VALUE(SUBSTITUTE(G13,"BLD","")))</f>
        <v/>
      </c>
      <c r="J13" s="14">
        <f>IF(G13="","", (ROW()-1)-IFERROR(INDEX(Buildings!$G$2:$G$101, MATCH(ROW()-1-0.0001, Buildings!$G$2:$G$101, 1)), 0))</f>
        <v/>
      </c>
      <c r="K13" s="15">
        <f>IF(G13="","", CHOOSE(MIN(J13, 10), "First", "Second", "Third", "Fourth", "Fifth", "Sixth", "Seventh", "Eighth", "Ninth", "Tenth") &amp; " Floor")</f>
        <v/>
      </c>
      <c r="L13" s="13">
        <f>IF(G13="","",L12+IF(ISNUMBER(E13),E13,0))</f>
        <v/>
      </c>
    </row>
    <row r="14">
      <c r="A14" s="6">
        <f>IF(F14="","",IF(F14=F13,"",F14))</f>
        <v/>
      </c>
      <c r="B14" s="5">
        <f>IF(G14="","",IF(G14=G13,"",G14))</f>
        <v/>
      </c>
      <c r="C14" s="6">
        <f>IF(H14="","",IF(H14=H13,"",H14))</f>
        <v/>
      </c>
      <c r="D14" s="5">
        <f>IF(G14="","", I14 &amp; "-FL" &amp; TEXT(J14, "00"))</f>
        <v/>
      </c>
      <c r="E14" s="12" t="n"/>
      <c r="F14" s="15">
        <f>IF(ROW()-1&gt;SUM(Buildings!$D$2:$D$101), "", INDEX(Buildings!$F$2:$F$101, IFERROR(MATCH(ROW()-1-0.0001, Buildings!$G$2:$G$101, 1), 0)+1))</f>
        <v/>
      </c>
      <c r="G14" s="14">
        <f>IF(ROW()-1&gt;SUM(Buildings!$D$2:$D$101), "", INDEX(Buildings!$B$2:$B$101, IFERROR(MATCH(ROW()-1-0.0001, Buildings!$G$2:$G$101, 1), 0)+1))</f>
        <v/>
      </c>
      <c r="H14" s="15">
        <f>IF(ROW()-1&gt;SUM(Buildings!$D$2:$D$101), "", INDEX(Buildings!$C$2:$C$101, IFERROR(MATCH(ROW()-1-0.0001, Buildings!$G$2:$G$101, 1), 0)+1))</f>
        <v/>
      </c>
      <c r="I14" s="14">
        <f>IF(G14="","",VALUE(SUBSTITUTE(G14,"BLD","")))</f>
        <v/>
      </c>
      <c r="J14" s="14">
        <f>IF(G14="","", (ROW()-1)-IFERROR(INDEX(Buildings!$G$2:$G$101, MATCH(ROW()-1-0.0001, Buildings!$G$2:$G$101, 1)), 0))</f>
        <v/>
      </c>
      <c r="K14" s="15">
        <f>IF(G14="","", CHOOSE(MIN(J14, 10), "First", "Second", "Third", "Fourth", "Fifth", "Sixth", "Seventh", "Eighth", "Ninth", "Tenth") &amp; " Floor")</f>
        <v/>
      </c>
      <c r="L14" s="13">
        <f>IF(G14="","",L13+IF(ISNUMBER(E14),E14,0))</f>
        <v/>
      </c>
    </row>
    <row r="15">
      <c r="A15" s="6">
        <f>IF(F15="","",IF(F15=F14,"",F15))</f>
        <v/>
      </c>
      <c r="B15" s="5">
        <f>IF(G15="","",IF(G15=G14,"",G15))</f>
        <v/>
      </c>
      <c r="C15" s="6">
        <f>IF(H15="","",IF(H15=H14,"",H15))</f>
        <v/>
      </c>
      <c r="D15" s="5">
        <f>IF(G15="","", I15 &amp; "-FL" &amp; TEXT(J15, "00"))</f>
        <v/>
      </c>
      <c r="E15" s="12" t="n"/>
      <c r="F15" s="15">
        <f>IF(ROW()-1&gt;SUM(Buildings!$D$2:$D$101), "", INDEX(Buildings!$F$2:$F$101, IFERROR(MATCH(ROW()-1-0.0001, Buildings!$G$2:$G$101, 1), 0)+1))</f>
        <v/>
      </c>
      <c r="G15" s="14">
        <f>IF(ROW()-1&gt;SUM(Buildings!$D$2:$D$101), "", INDEX(Buildings!$B$2:$B$101, IFERROR(MATCH(ROW()-1-0.0001, Buildings!$G$2:$G$101, 1), 0)+1))</f>
        <v/>
      </c>
      <c r="H15" s="15">
        <f>IF(ROW()-1&gt;SUM(Buildings!$D$2:$D$101), "", INDEX(Buildings!$C$2:$C$101, IFERROR(MATCH(ROW()-1-0.0001, Buildings!$G$2:$G$101, 1), 0)+1))</f>
        <v/>
      </c>
      <c r="I15" s="14">
        <f>IF(G15="","",VALUE(SUBSTITUTE(G15,"BLD","")))</f>
        <v/>
      </c>
      <c r="J15" s="14">
        <f>IF(G15="","", (ROW()-1)-IFERROR(INDEX(Buildings!$G$2:$G$101, MATCH(ROW()-1-0.0001, Buildings!$G$2:$G$101, 1)), 0))</f>
        <v/>
      </c>
      <c r="K15" s="15">
        <f>IF(G15="","", CHOOSE(MIN(J15, 10), "First", "Second", "Third", "Fourth", "Fifth", "Sixth", "Seventh", "Eighth", "Ninth", "Tenth") &amp; " Floor")</f>
        <v/>
      </c>
      <c r="L15" s="13">
        <f>IF(G15="","",L14+IF(ISNUMBER(E15),E15,0))</f>
        <v/>
      </c>
    </row>
    <row r="16">
      <c r="A16" s="6">
        <f>IF(F16="","",IF(F16=F15,"",F16))</f>
        <v/>
      </c>
      <c r="B16" s="5">
        <f>IF(G16="","",IF(G16=G15,"",G16))</f>
        <v/>
      </c>
      <c r="C16" s="6">
        <f>IF(H16="","",IF(H16=H15,"",H16))</f>
        <v/>
      </c>
      <c r="D16" s="5">
        <f>IF(G16="","", I16 &amp; "-FL" &amp; TEXT(J16, "00"))</f>
        <v/>
      </c>
      <c r="E16" s="12" t="n"/>
      <c r="F16" s="15">
        <f>IF(ROW()-1&gt;SUM(Buildings!$D$2:$D$101), "", INDEX(Buildings!$F$2:$F$101, IFERROR(MATCH(ROW()-1-0.0001, Buildings!$G$2:$G$101, 1), 0)+1))</f>
        <v/>
      </c>
      <c r="G16" s="14">
        <f>IF(ROW()-1&gt;SUM(Buildings!$D$2:$D$101), "", INDEX(Buildings!$B$2:$B$101, IFERROR(MATCH(ROW()-1-0.0001, Buildings!$G$2:$G$101, 1), 0)+1))</f>
        <v/>
      </c>
      <c r="H16" s="15">
        <f>IF(ROW()-1&gt;SUM(Buildings!$D$2:$D$101), "", INDEX(Buildings!$C$2:$C$101, IFERROR(MATCH(ROW()-1-0.0001, Buildings!$G$2:$G$101, 1), 0)+1))</f>
        <v/>
      </c>
      <c r="I16" s="14">
        <f>IF(G16="","",VALUE(SUBSTITUTE(G16,"BLD","")))</f>
        <v/>
      </c>
      <c r="J16" s="14">
        <f>IF(G16="","", (ROW()-1)-IFERROR(INDEX(Buildings!$G$2:$G$101, MATCH(ROW()-1-0.0001, Buildings!$G$2:$G$101, 1)), 0))</f>
        <v/>
      </c>
      <c r="K16" s="15">
        <f>IF(G16="","", CHOOSE(MIN(J16, 10), "First", "Second", "Third", "Fourth", "Fifth", "Sixth", "Seventh", "Eighth", "Ninth", "Tenth") &amp; " Floor")</f>
        <v/>
      </c>
      <c r="L16" s="13">
        <f>IF(G16="","",L15+IF(ISNUMBER(E16),E16,0))</f>
        <v/>
      </c>
    </row>
    <row r="17">
      <c r="A17" s="6">
        <f>IF(F17="","",IF(F17=F16,"",F17))</f>
        <v/>
      </c>
      <c r="B17" s="5">
        <f>IF(G17="","",IF(G17=G16,"",G17))</f>
        <v/>
      </c>
      <c r="C17" s="6">
        <f>IF(H17="","",IF(H17=H16,"",H17))</f>
        <v/>
      </c>
      <c r="D17" s="5">
        <f>IF(G17="","", I17 &amp; "-FL" &amp; TEXT(J17, "00"))</f>
        <v/>
      </c>
      <c r="E17" s="12" t="n"/>
      <c r="F17" s="15">
        <f>IF(ROW()-1&gt;SUM(Buildings!$D$2:$D$101), "", INDEX(Buildings!$F$2:$F$101, IFERROR(MATCH(ROW()-1-0.0001, Buildings!$G$2:$G$101, 1), 0)+1))</f>
        <v/>
      </c>
      <c r="G17" s="14">
        <f>IF(ROW()-1&gt;SUM(Buildings!$D$2:$D$101), "", INDEX(Buildings!$B$2:$B$101, IFERROR(MATCH(ROW()-1-0.0001, Buildings!$G$2:$G$101, 1), 0)+1))</f>
        <v/>
      </c>
      <c r="H17" s="15">
        <f>IF(ROW()-1&gt;SUM(Buildings!$D$2:$D$101), "", INDEX(Buildings!$C$2:$C$101, IFERROR(MATCH(ROW()-1-0.0001, Buildings!$G$2:$G$101, 1), 0)+1))</f>
        <v/>
      </c>
      <c r="I17" s="14">
        <f>IF(G17="","",VALUE(SUBSTITUTE(G17,"BLD","")))</f>
        <v/>
      </c>
      <c r="J17" s="14">
        <f>IF(G17="","", (ROW()-1)-IFERROR(INDEX(Buildings!$G$2:$G$101, MATCH(ROW()-1-0.0001, Buildings!$G$2:$G$101, 1)), 0))</f>
        <v/>
      </c>
      <c r="K17" s="15">
        <f>IF(G17="","", CHOOSE(MIN(J17, 10), "First", "Second", "Third", "Fourth", "Fifth", "Sixth", "Seventh", "Eighth", "Ninth", "Tenth") &amp; " Floor")</f>
        <v/>
      </c>
      <c r="L17" s="13">
        <f>IF(G17="","",L16+IF(ISNUMBER(E17),E17,0))</f>
        <v/>
      </c>
    </row>
    <row r="18">
      <c r="A18" s="6">
        <f>IF(F18="","",IF(F18=F17,"",F18))</f>
        <v/>
      </c>
      <c r="B18" s="5">
        <f>IF(G18="","",IF(G18=G17,"",G18))</f>
        <v/>
      </c>
      <c r="C18" s="6">
        <f>IF(H18="","",IF(H18=H17,"",H18))</f>
        <v/>
      </c>
      <c r="D18" s="5">
        <f>IF(G18="","", I18 &amp; "-FL" &amp; TEXT(J18, "00"))</f>
        <v/>
      </c>
      <c r="E18" s="12" t="n"/>
      <c r="F18" s="15">
        <f>IF(ROW()-1&gt;SUM(Buildings!$D$2:$D$101), "", INDEX(Buildings!$F$2:$F$101, IFERROR(MATCH(ROW()-1-0.0001, Buildings!$G$2:$G$101, 1), 0)+1))</f>
        <v/>
      </c>
      <c r="G18" s="14">
        <f>IF(ROW()-1&gt;SUM(Buildings!$D$2:$D$101), "", INDEX(Buildings!$B$2:$B$101, IFERROR(MATCH(ROW()-1-0.0001, Buildings!$G$2:$G$101, 1), 0)+1))</f>
        <v/>
      </c>
      <c r="H18" s="15">
        <f>IF(ROW()-1&gt;SUM(Buildings!$D$2:$D$101), "", INDEX(Buildings!$C$2:$C$101, IFERROR(MATCH(ROW()-1-0.0001, Buildings!$G$2:$G$101, 1), 0)+1))</f>
        <v/>
      </c>
      <c r="I18" s="14">
        <f>IF(G18="","",VALUE(SUBSTITUTE(G18,"BLD","")))</f>
        <v/>
      </c>
      <c r="J18" s="14">
        <f>IF(G18="","", (ROW()-1)-IFERROR(INDEX(Buildings!$G$2:$G$101, MATCH(ROW()-1-0.0001, Buildings!$G$2:$G$101, 1)), 0))</f>
        <v/>
      </c>
      <c r="K18" s="15">
        <f>IF(G18="","", CHOOSE(MIN(J18, 10), "First", "Second", "Third", "Fourth", "Fifth", "Sixth", "Seventh", "Eighth", "Ninth", "Tenth") &amp; " Floor")</f>
        <v/>
      </c>
      <c r="L18" s="13">
        <f>IF(G18="","",L17+IF(ISNUMBER(E18),E18,0))</f>
        <v/>
      </c>
    </row>
    <row r="19">
      <c r="A19" s="6">
        <f>IF(F19="","",IF(F19=F18,"",F19))</f>
        <v/>
      </c>
      <c r="B19" s="5">
        <f>IF(G19="","",IF(G19=G18,"",G19))</f>
        <v/>
      </c>
      <c r="C19" s="6">
        <f>IF(H19="","",IF(H19=H18,"",H19))</f>
        <v/>
      </c>
      <c r="D19" s="5">
        <f>IF(G19="","", I19 &amp; "-FL" &amp; TEXT(J19, "00"))</f>
        <v/>
      </c>
      <c r="E19" s="12" t="n"/>
      <c r="F19" s="15">
        <f>IF(ROW()-1&gt;SUM(Buildings!$D$2:$D$101), "", INDEX(Buildings!$F$2:$F$101, IFERROR(MATCH(ROW()-1-0.0001, Buildings!$G$2:$G$101, 1), 0)+1))</f>
        <v/>
      </c>
      <c r="G19" s="14">
        <f>IF(ROW()-1&gt;SUM(Buildings!$D$2:$D$101), "", INDEX(Buildings!$B$2:$B$101, IFERROR(MATCH(ROW()-1-0.0001, Buildings!$G$2:$G$101, 1), 0)+1))</f>
        <v/>
      </c>
      <c r="H19" s="15">
        <f>IF(ROW()-1&gt;SUM(Buildings!$D$2:$D$101), "", INDEX(Buildings!$C$2:$C$101, IFERROR(MATCH(ROW()-1-0.0001, Buildings!$G$2:$G$101, 1), 0)+1))</f>
        <v/>
      </c>
      <c r="I19" s="14">
        <f>IF(G19="","",VALUE(SUBSTITUTE(G19,"BLD","")))</f>
        <v/>
      </c>
      <c r="J19" s="14">
        <f>IF(G19="","", (ROW()-1)-IFERROR(INDEX(Buildings!$G$2:$G$101, MATCH(ROW()-1-0.0001, Buildings!$G$2:$G$101, 1)), 0))</f>
        <v/>
      </c>
      <c r="K19" s="15">
        <f>IF(G19="","", CHOOSE(MIN(J19, 10), "First", "Second", "Third", "Fourth", "Fifth", "Sixth", "Seventh", "Eighth", "Ninth", "Tenth") &amp; " Floor")</f>
        <v/>
      </c>
      <c r="L19" s="13">
        <f>IF(G19="","",L18+IF(ISNUMBER(E19),E19,0))</f>
        <v/>
      </c>
    </row>
    <row r="20">
      <c r="A20" s="6">
        <f>IF(F20="","",IF(F20=F19,"",F20))</f>
        <v/>
      </c>
      <c r="B20" s="5">
        <f>IF(G20="","",IF(G20=G19,"",G20))</f>
        <v/>
      </c>
      <c r="C20" s="6">
        <f>IF(H20="","",IF(H20=H19,"",H20))</f>
        <v/>
      </c>
      <c r="D20" s="5">
        <f>IF(G20="","", I20 &amp; "-FL" &amp; TEXT(J20, "00"))</f>
        <v/>
      </c>
      <c r="E20" s="12" t="n"/>
      <c r="F20" s="15">
        <f>IF(ROW()-1&gt;SUM(Buildings!$D$2:$D$101), "", INDEX(Buildings!$F$2:$F$101, IFERROR(MATCH(ROW()-1-0.0001, Buildings!$G$2:$G$101, 1), 0)+1))</f>
        <v/>
      </c>
      <c r="G20" s="14">
        <f>IF(ROW()-1&gt;SUM(Buildings!$D$2:$D$101), "", INDEX(Buildings!$B$2:$B$101, IFERROR(MATCH(ROW()-1-0.0001, Buildings!$G$2:$G$101, 1), 0)+1))</f>
        <v/>
      </c>
      <c r="H20" s="15">
        <f>IF(ROW()-1&gt;SUM(Buildings!$D$2:$D$101), "", INDEX(Buildings!$C$2:$C$101, IFERROR(MATCH(ROW()-1-0.0001, Buildings!$G$2:$G$101, 1), 0)+1))</f>
        <v/>
      </c>
      <c r="I20" s="14">
        <f>IF(G20="","",VALUE(SUBSTITUTE(G20,"BLD","")))</f>
        <v/>
      </c>
      <c r="J20" s="14">
        <f>IF(G20="","", (ROW()-1)-IFERROR(INDEX(Buildings!$G$2:$G$101, MATCH(ROW()-1-0.0001, Buildings!$G$2:$G$101, 1)), 0))</f>
        <v/>
      </c>
      <c r="K20" s="15">
        <f>IF(G20="","", CHOOSE(MIN(J20, 10), "First", "Second", "Third", "Fourth", "Fifth", "Sixth", "Seventh", "Eighth", "Ninth", "Tenth") &amp; " Floor")</f>
        <v/>
      </c>
      <c r="L20" s="13">
        <f>IF(G20="","",L19+IF(ISNUMBER(E20),E20,0))</f>
        <v/>
      </c>
    </row>
    <row r="21">
      <c r="A21" s="6">
        <f>IF(F21="","",IF(F21=F20,"",F21))</f>
        <v/>
      </c>
      <c r="B21" s="5">
        <f>IF(G21="","",IF(G21=G20,"",G21))</f>
        <v/>
      </c>
      <c r="C21" s="6">
        <f>IF(H21="","",IF(H21=H20,"",H21))</f>
        <v/>
      </c>
      <c r="D21" s="5">
        <f>IF(G21="","", I21 &amp; "-FL" &amp; TEXT(J21, "00"))</f>
        <v/>
      </c>
      <c r="E21" s="12" t="n"/>
      <c r="F21" s="15">
        <f>IF(ROW()-1&gt;SUM(Buildings!$D$2:$D$101), "", INDEX(Buildings!$F$2:$F$101, IFERROR(MATCH(ROW()-1-0.0001, Buildings!$G$2:$G$101, 1), 0)+1))</f>
        <v/>
      </c>
      <c r="G21" s="14">
        <f>IF(ROW()-1&gt;SUM(Buildings!$D$2:$D$101), "", INDEX(Buildings!$B$2:$B$101, IFERROR(MATCH(ROW()-1-0.0001, Buildings!$G$2:$G$101, 1), 0)+1))</f>
        <v/>
      </c>
      <c r="H21" s="15">
        <f>IF(ROW()-1&gt;SUM(Buildings!$D$2:$D$101), "", INDEX(Buildings!$C$2:$C$101, IFERROR(MATCH(ROW()-1-0.0001, Buildings!$G$2:$G$101, 1), 0)+1))</f>
        <v/>
      </c>
      <c r="I21" s="14">
        <f>IF(G21="","",VALUE(SUBSTITUTE(G21,"BLD","")))</f>
        <v/>
      </c>
      <c r="J21" s="14">
        <f>IF(G21="","", (ROW()-1)-IFERROR(INDEX(Buildings!$G$2:$G$101, MATCH(ROW()-1-0.0001, Buildings!$G$2:$G$101, 1)), 0))</f>
        <v/>
      </c>
      <c r="K21" s="15">
        <f>IF(G21="","", CHOOSE(MIN(J21, 10), "First", "Second", "Third", "Fourth", "Fifth", "Sixth", "Seventh", "Eighth", "Ninth", "Tenth") &amp; " Floor")</f>
        <v/>
      </c>
      <c r="L21" s="13">
        <f>IF(G21="","",L20+IF(ISNUMBER(E21),E21,0))</f>
        <v/>
      </c>
    </row>
    <row r="22">
      <c r="A22" s="6">
        <f>IF(F22="","",IF(F22=F21,"",F22))</f>
        <v/>
      </c>
      <c r="B22" s="5">
        <f>IF(G22="","",IF(G22=G21,"",G22))</f>
        <v/>
      </c>
      <c r="C22" s="6">
        <f>IF(H22="","",IF(H22=H21,"",H22))</f>
        <v/>
      </c>
      <c r="D22" s="5">
        <f>IF(G22="","", I22 &amp; "-FL" &amp; TEXT(J22, "00"))</f>
        <v/>
      </c>
      <c r="E22" s="12" t="n"/>
      <c r="F22" s="15">
        <f>IF(ROW()-1&gt;SUM(Buildings!$D$2:$D$101), "", INDEX(Buildings!$F$2:$F$101, IFERROR(MATCH(ROW()-1-0.0001, Buildings!$G$2:$G$101, 1), 0)+1))</f>
        <v/>
      </c>
      <c r="G22" s="14">
        <f>IF(ROW()-1&gt;SUM(Buildings!$D$2:$D$101), "", INDEX(Buildings!$B$2:$B$101, IFERROR(MATCH(ROW()-1-0.0001, Buildings!$G$2:$G$101, 1), 0)+1))</f>
        <v/>
      </c>
      <c r="H22" s="15">
        <f>IF(ROW()-1&gt;SUM(Buildings!$D$2:$D$101), "", INDEX(Buildings!$C$2:$C$101, IFERROR(MATCH(ROW()-1-0.0001, Buildings!$G$2:$G$101, 1), 0)+1))</f>
        <v/>
      </c>
      <c r="I22" s="14">
        <f>IF(G22="","",VALUE(SUBSTITUTE(G22,"BLD","")))</f>
        <v/>
      </c>
      <c r="J22" s="14">
        <f>IF(G22="","", (ROW()-1)-IFERROR(INDEX(Buildings!$G$2:$G$101, MATCH(ROW()-1-0.0001, Buildings!$G$2:$G$101, 1)), 0))</f>
        <v/>
      </c>
      <c r="K22" s="15">
        <f>IF(G22="","", CHOOSE(MIN(J22, 10), "First", "Second", "Third", "Fourth", "Fifth", "Sixth", "Seventh", "Eighth", "Ninth", "Tenth") &amp; " Floor")</f>
        <v/>
      </c>
      <c r="L22" s="13">
        <f>IF(G22="","",L21+IF(ISNUMBER(E22),E22,0))</f>
        <v/>
      </c>
    </row>
    <row r="23">
      <c r="A23" s="6">
        <f>IF(F23="","",IF(F23=F22,"",F23))</f>
        <v/>
      </c>
      <c r="B23" s="5">
        <f>IF(G23="","",IF(G23=G22,"",G23))</f>
        <v/>
      </c>
      <c r="C23" s="6">
        <f>IF(H23="","",IF(H23=H22,"",H23))</f>
        <v/>
      </c>
      <c r="D23" s="5">
        <f>IF(G23="","", I23 &amp; "-FL" &amp; TEXT(J23, "00"))</f>
        <v/>
      </c>
      <c r="E23" s="12" t="n"/>
      <c r="F23" s="15">
        <f>IF(ROW()-1&gt;SUM(Buildings!$D$2:$D$101), "", INDEX(Buildings!$F$2:$F$101, IFERROR(MATCH(ROW()-1-0.0001, Buildings!$G$2:$G$101, 1), 0)+1))</f>
        <v/>
      </c>
      <c r="G23" s="14">
        <f>IF(ROW()-1&gt;SUM(Buildings!$D$2:$D$101), "", INDEX(Buildings!$B$2:$B$101, IFERROR(MATCH(ROW()-1-0.0001, Buildings!$G$2:$G$101, 1), 0)+1))</f>
        <v/>
      </c>
      <c r="H23" s="15">
        <f>IF(ROW()-1&gt;SUM(Buildings!$D$2:$D$101), "", INDEX(Buildings!$C$2:$C$101, IFERROR(MATCH(ROW()-1-0.0001, Buildings!$G$2:$G$101, 1), 0)+1))</f>
        <v/>
      </c>
      <c r="I23" s="14">
        <f>IF(G23="","",VALUE(SUBSTITUTE(G23,"BLD","")))</f>
        <v/>
      </c>
      <c r="J23" s="14">
        <f>IF(G23="","", (ROW()-1)-IFERROR(INDEX(Buildings!$G$2:$G$101, MATCH(ROW()-1-0.0001, Buildings!$G$2:$G$101, 1)), 0))</f>
        <v/>
      </c>
      <c r="K23" s="15">
        <f>IF(G23="","", CHOOSE(MIN(J23, 10), "First", "Second", "Third", "Fourth", "Fifth", "Sixth", "Seventh", "Eighth", "Ninth", "Tenth") &amp; " Floor")</f>
        <v/>
      </c>
      <c r="L23" s="13">
        <f>IF(G23="","",L22+IF(ISNUMBER(E23),E23,0))</f>
        <v/>
      </c>
    </row>
    <row r="24">
      <c r="A24" s="6">
        <f>IF(F24="","",IF(F24=F23,"",F24))</f>
        <v/>
      </c>
      <c r="B24" s="5">
        <f>IF(G24="","",IF(G24=G23,"",G24))</f>
        <v/>
      </c>
      <c r="C24" s="6">
        <f>IF(H24="","",IF(H24=H23,"",H24))</f>
        <v/>
      </c>
      <c r="D24" s="5">
        <f>IF(G24="","", I24 &amp; "-FL" &amp; TEXT(J24, "00"))</f>
        <v/>
      </c>
      <c r="E24" s="12" t="n"/>
      <c r="F24" s="15">
        <f>IF(ROW()-1&gt;SUM(Buildings!$D$2:$D$101), "", INDEX(Buildings!$F$2:$F$101, IFERROR(MATCH(ROW()-1-0.0001, Buildings!$G$2:$G$101, 1), 0)+1))</f>
        <v/>
      </c>
      <c r="G24" s="14">
        <f>IF(ROW()-1&gt;SUM(Buildings!$D$2:$D$101), "", INDEX(Buildings!$B$2:$B$101, IFERROR(MATCH(ROW()-1-0.0001, Buildings!$G$2:$G$101, 1), 0)+1))</f>
        <v/>
      </c>
      <c r="H24" s="15">
        <f>IF(ROW()-1&gt;SUM(Buildings!$D$2:$D$101), "", INDEX(Buildings!$C$2:$C$101, IFERROR(MATCH(ROW()-1-0.0001, Buildings!$G$2:$G$101, 1), 0)+1))</f>
        <v/>
      </c>
      <c r="I24" s="14">
        <f>IF(G24="","",VALUE(SUBSTITUTE(G24,"BLD","")))</f>
        <v/>
      </c>
      <c r="J24" s="14">
        <f>IF(G24="","", (ROW()-1)-IFERROR(INDEX(Buildings!$G$2:$G$101, MATCH(ROW()-1-0.0001, Buildings!$G$2:$G$101, 1)), 0))</f>
        <v/>
      </c>
      <c r="K24" s="15">
        <f>IF(G24="","", CHOOSE(MIN(J24, 10), "First", "Second", "Third", "Fourth", "Fifth", "Sixth", "Seventh", "Eighth", "Ninth", "Tenth") &amp; " Floor")</f>
        <v/>
      </c>
      <c r="L24" s="13">
        <f>IF(G24="","",L23+IF(ISNUMBER(E24),E24,0))</f>
        <v/>
      </c>
    </row>
    <row r="25">
      <c r="A25" s="6">
        <f>IF(F25="","",IF(F25=F24,"",F25))</f>
        <v/>
      </c>
      <c r="B25" s="5">
        <f>IF(G25="","",IF(G25=G24,"",G25))</f>
        <v/>
      </c>
      <c r="C25" s="6">
        <f>IF(H25="","",IF(H25=H24,"",H25))</f>
        <v/>
      </c>
      <c r="D25" s="5">
        <f>IF(G25="","", I25 &amp; "-FL" &amp; TEXT(J25, "00"))</f>
        <v/>
      </c>
      <c r="E25" s="12" t="n"/>
      <c r="F25" s="15">
        <f>IF(ROW()-1&gt;SUM(Buildings!$D$2:$D$101), "", INDEX(Buildings!$F$2:$F$101, IFERROR(MATCH(ROW()-1-0.0001, Buildings!$G$2:$G$101, 1), 0)+1))</f>
        <v/>
      </c>
      <c r="G25" s="14">
        <f>IF(ROW()-1&gt;SUM(Buildings!$D$2:$D$101), "", INDEX(Buildings!$B$2:$B$101, IFERROR(MATCH(ROW()-1-0.0001, Buildings!$G$2:$G$101, 1), 0)+1))</f>
        <v/>
      </c>
      <c r="H25" s="15">
        <f>IF(ROW()-1&gt;SUM(Buildings!$D$2:$D$101), "", INDEX(Buildings!$C$2:$C$101, IFERROR(MATCH(ROW()-1-0.0001, Buildings!$G$2:$G$101, 1), 0)+1))</f>
        <v/>
      </c>
      <c r="I25" s="14">
        <f>IF(G25="","",VALUE(SUBSTITUTE(G25,"BLD","")))</f>
        <v/>
      </c>
      <c r="J25" s="14">
        <f>IF(G25="","", (ROW()-1)-IFERROR(INDEX(Buildings!$G$2:$G$101, MATCH(ROW()-1-0.0001, Buildings!$G$2:$G$101, 1)), 0))</f>
        <v/>
      </c>
      <c r="K25" s="15">
        <f>IF(G25="","", CHOOSE(MIN(J25, 10), "First", "Second", "Third", "Fourth", "Fifth", "Sixth", "Seventh", "Eighth", "Ninth", "Tenth") &amp; " Floor")</f>
        <v/>
      </c>
      <c r="L25" s="13">
        <f>IF(G25="","",L24+IF(ISNUMBER(E25),E25,0))</f>
        <v/>
      </c>
    </row>
    <row r="26">
      <c r="A26" s="6">
        <f>IF(F26="","",IF(F26=F25,"",F26))</f>
        <v/>
      </c>
      <c r="B26" s="5">
        <f>IF(G26="","",IF(G26=G25,"",G26))</f>
        <v/>
      </c>
      <c r="C26" s="6">
        <f>IF(H26="","",IF(H26=H25,"",H26))</f>
        <v/>
      </c>
      <c r="D26" s="5">
        <f>IF(G26="","", I26 &amp; "-FL" &amp; TEXT(J26, "00"))</f>
        <v/>
      </c>
      <c r="E26" s="12" t="n"/>
      <c r="F26" s="15">
        <f>IF(ROW()-1&gt;SUM(Buildings!$D$2:$D$101), "", INDEX(Buildings!$F$2:$F$101, IFERROR(MATCH(ROW()-1-0.0001, Buildings!$G$2:$G$101, 1), 0)+1))</f>
        <v/>
      </c>
      <c r="G26" s="14">
        <f>IF(ROW()-1&gt;SUM(Buildings!$D$2:$D$101), "", INDEX(Buildings!$B$2:$B$101, IFERROR(MATCH(ROW()-1-0.0001, Buildings!$G$2:$G$101, 1), 0)+1))</f>
        <v/>
      </c>
      <c r="H26" s="15">
        <f>IF(ROW()-1&gt;SUM(Buildings!$D$2:$D$101), "", INDEX(Buildings!$C$2:$C$101, IFERROR(MATCH(ROW()-1-0.0001, Buildings!$G$2:$G$101, 1), 0)+1))</f>
        <v/>
      </c>
      <c r="I26" s="14">
        <f>IF(G26="","",VALUE(SUBSTITUTE(G26,"BLD","")))</f>
        <v/>
      </c>
      <c r="J26" s="14">
        <f>IF(G26="","", (ROW()-1)-IFERROR(INDEX(Buildings!$G$2:$G$101, MATCH(ROW()-1-0.0001, Buildings!$G$2:$G$101, 1)), 0))</f>
        <v/>
      </c>
      <c r="K26" s="15">
        <f>IF(G26="","", CHOOSE(MIN(J26, 10), "First", "Second", "Third", "Fourth", "Fifth", "Sixth", "Seventh", "Eighth", "Ninth", "Tenth") &amp; " Floor")</f>
        <v/>
      </c>
      <c r="L26" s="13">
        <f>IF(G26="","",L25+IF(ISNUMBER(E26),E26,0))</f>
        <v/>
      </c>
    </row>
    <row r="27">
      <c r="A27" s="6">
        <f>IF(F27="","",IF(F27=F26,"",F27))</f>
        <v/>
      </c>
      <c r="B27" s="5">
        <f>IF(G27="","",IF(G27=G26,"",G27))</f>
        <v/>
      </c>
      <c r="C27" s="6">
        <f>IF(H27="","",IF(H27=H26,"",H27))</f>
        <v/>
      </c>
      <c r="D27" s="5">
        <f>IF(G27="","", I27 &amp; "-FL" &amp; TEXT(J27, "00"))</f>
        <v/>
      </c>
      <c r="E27" s="12" t="n"/>
      <c r="F27" s="15">
        <f>IF(ROW()-1&gt;SUM(Buildings!$D$2:$D$101), "", INDEX(Buildings!$F$2:$F$101, IFERROR(MATCH(ROW()-1-0.0001, Buildings!$G$2:$G$101, 1), 0)+1))</f>
        <v/>
      </c>
      <c r="G27" s="14">
        <f>IF(ROW()-1&gt;SUM(Buildings!$D$2:$D$101), "", INDEX(Buildings!$B$2:$B$101, IFERROR(MATCH(ROW()-1-0.0001, Buildings!$G$2:$G$101, 1), 0)+1))</f>
        <v/>
      </c>
      <c r="H27" s="15">
        <f>IF(ROW()-1&gt;SUM(Buildings!$D$2:$D$101), "", INDEX(Buildings!$C$2:$C$101, IFERROR(MATCH(ROW()-1-0.0001, Buildings!$G$2:$G$101, 1), 0)+1))</f>
        <v/>
      </c>
      <c r="I27" s="14">
        <f>IF(G27="","",VALUE(SUBSTITUTE(G27,"BLD","")))</f>
        <v/>
      </c>
      <c r="J27" s="14">
        <f>IF(G27="","", (ROW()-1)-IFERROR(INDEX(Buildings!$G$2:$G$101, MATCH(ROW()-1-0.0001, Buildings!$G$2:$G$101, 1)), 0))</f>
        <v/>
      </c>
      <c r="K27" s="15">
        <f>IF(G27="","", CHOOSE(MIN(J27, 10), "First", "Second", "Third", "Fourth", "Fifth", "Sixth", "Seventh", "Eighth", "Ninth", "Tenth") &amp; " Floor")</f>
        <v/>
      </c>
      <c r="L27" s="13">
        <f>IF(G27="","",L26+IF(ISNUMBER(E27),E27,0))</f>
        <v/>
      </c>
    </row>
    <row r="28">
      <c r="A28" s="6">
        <f>IF(F28="","",IF(F28=F27,"",F28))</f>
        <v/>
      </c>
      <c r="B28" s="5">
        <f>IF(G28="","",IF(G28=G27,"",G28))</f>
        <v/>
      </c>
      <c r="C28" s="6">
        <f>IF(H28="","",IF(H28=H27,"",H28))</f>
        <v/>
      </c>
      <c r="D28" s="5">
        <f>IF(G28="","", I28 &amp; "-FL" &amp; TEXT(J28, "00"))</f>
        <v/>
      </c>
      <c r="E28" s="12" t="n"/>
      <c r="F28" s="15">
        <f>IF(ROW()-1&gt;SUM(Buildings!$D$2:$D$101), "", INDEX(Buildings!$F$2:$F$101, IFERROR(MATCH(ROW()-1-0.0001, Buildings!$G$2:$G$101, 1), 0)+1))</f>
        <v/>
      </c>
      <c r="G28" s="14">
        <f>IF(ROW()-1&gt;SUM(Buildings!$D$2:$D$101), "", INDEX(Buildings!$B$2:$B$101, IFERROR(MATCH(ROW()-1-0.0001, Buildings!$G$2:$G$101, 1), 0)+1))</f>
        <v/>
      </c>
      <c r="H28" s="15">
        <f>IF(ROW()-1&gt;SUM(Buildings!$D$2:$D$101), "", INDEX(Buildings!$C$2:$C$101, IFERROR(MATCH(ROW()-1-0.0001, Buildings!$G$2:$G$101, 1), 0)+1))</f>
        <v/>
      </c>
      <c r="I28" s="14">
        <f>IF(G28="","",VALUE(SUBSTITUTE(G28,"BLD","")))</f>
        <v/>
      </c>
      <c r="J28" s="14">
        <f>IF(G28="","", (ROW()-1)-IFERROR(INDEX(Buildings!$G$2:$G$101, MATCH(ROW()-1-0.0001, Buildings!$G$2:$G$101, 1)), 0))</f>
        <v/>
      </c>
      <c r="K28" s="15">
        <f>IF(G28="","", CHOOSE(MIN(J28, 10), "First", "Second", "Third", "Fourth", "Fifth", "Sixth", "Seventh", "Eighth", "Ninth", "Tenth") &amp; " Floor")</f>
        <v/>
      </c>
      <c r="L28" s="13">
        <f>IF(G28="","",L27+IF(ISNUMBER(E28),E28,0))</f>
        <v/>
      </c>
    </row>
    <row r="29">
      <c r="A29" s="6">
        <f>IF(F29="","",IF(F29=F28,"",F29))</f>
        <v/>
      </c>
      <c r="B29" s="5">
        <f>IF(G29="","",IF(G29=G28,"",G29))</f>
        <v/>
      </c>
      <c r="C29" s="6">
        <f>IF(H29="","",IF(H29=H28,"",H29))</f>
        <v/>
      </c>
      <c r="D29" s="5">
        <f>IF(G29="","", I29 &amp; "-FL" &amp; TEXT(J29, "00"))</f>
        <v/>
      </c>
      <c r="E29" s="12" t="n"/>
      <c r="F29" s="15">
        <f>IF(ROW()-1&gt;SUM(Buildings!$D$2:$D$101), "", INDEX(Buildings!$F$2:$F$101, IFERROR(MATCH(ROW()-1-0.0001, Buildings!$G$2:$G$101, 1), 0)+1))</f>
        <v/>
      </c>
      <c r="G29" s="14">
        <f>IF(ROW()-1&gt;SUM(Buildings!$D$2:$D$101), "", INDEX(Buildings!$B$2:$B$101, IFERROR(MATCH(ROW()-1-0.0001, Buildings!$G$2:$G$101, 1), 0)+1))</f>
        <v/>
      </c>
      <c r="H29" s="15">
        <f>IF(ROW()-1&gt;SUM(Buildings!$D$2:$D$101), "", INDEX(Buildings!$C$2:$C$101, IFERROR(MATCH(ROW()-1-0.0001, Buildings!$G$2:$G$101, 1), 0)+1))</f>
        <v/>
      </c>
      <c r="I29" s="14">
        <f>IF(G29="","",VALUE(SUBSTITUTE(G29,"BLD","")))</f>
        <v/>
      </c>
      <c r="J29" s="14">
        <f>IF(G29="","", (ROW()-1)-IFERROR(INDEX(Buildings!$G$2:$G$101, MATCH(ROW()-1-0.0001, Buildings!$G$2:$G$101, 1)), 0))</f>
        <v/>
      </c>
      <c r="K29" s="15">
        <f>IF(G29="","", CHOOSE(MIN(J29, 10), "First", "Second", "Third", "Fourth", "Fifth", "Sixth", "Seventh", "Eighth", "Ninth", "Tenth") &amp; " Floor")</f>
        <v/>
      </c>
      <c r="L29" s="13">
        <f>IF(G29="","",L28+IF(ISNUMBER(E29),E29,0))</f>
        <v/>
      </c>
    </row>
    <row r="30">
      <c r="A30" s="6">
        <f>IF(F30="","",IF(F30=F29,"",F30))</f>
        <v/>
      </c>
      <c r="B30" s="5">
        <f>IF(G30="","",IF(G30=G29,"",G30))</f>
        <v/>
      </c>
      <c r="C30" s="6">
        <f>IF(H30="","",IF(H30=H29,"",H30))</f>
        <v/>
      </c>
      <c r="D30" s="5">
        <f>IF(G30="","", I30 &amp; "-FL" &amp; TEXT(J30, "00"))</f>
        <v/>
      </c>
      <c r="E30" s="12" t="n"/>
      <c r="F30" s="15">
        <f>IF(ROW()-1&gt;SUM(Buildings!$D$2:$D$101), "", INDEX(Buildings!$F$2:$F$101, IFERROR(MATCH(ROW()-1-0.0001, Buildings!$G$2:$G$101, 1), 0)+1))</f>
        <v/>
      </c>
      <c r="G30" s="14">
        <f>IF(ROW()-1&gt;SUM(Buildings!$D$2:$D$101), "", INDEX(Buildings!$B$2:$B$101, IFERROR(MATCH(ROW()-1-0.0001, Buildings!$G$2:$G$101, 1), 0)+1))</f>
        <v/>
      </c>
      <c r="H30" s="15">
        <f>IF(ROW()-1&gt;SUM(Buildings!$D$2:$D$101), "", INDEX(Buildings!$C$2:$C$101, IFERROR(MATCH(ROW()-1-0.0001, Buildings!$G$2:$G$101, 1), 0)+1))</f>
        <v/>
      </c>
      <c r="I30" s="14">
        <f>IF(G30="","",VALUE(SUBSTITUTE(G30,"BLD","")))</f>
        <v/>
      </c>
      <c r="J30" s="14">
        <f>IF(G30="","", (ROW()-1)-IFERROR(INDEX(Buildings!$G$2:$G$101, MATCH(ROW()-1-0.0001, Buildings!$G$2:$G$101, 1)), 0))</f>
        <v/>
      </c>
      <c r="K30" s="15">
        <f>IF(G30="","", CHOOSE(MIN(J30, 10), "First", "Second", "Third", "Fourth", "Fifth", "Sixth", "Seventh", "Eighth", "Ninth", "Tenth") &amp; " Floor")</f>
        <v/>
      </c>
      <c r="L30" s="13">
        <f>IF(G30="","",L29+IF(ISNUMBER(E30),E30,0))</f>
        <v/>
      </c>
    </row>
    <row r="31">
      <c r="A31" s="6">
        <f>IF(F31="","",IF(F31=F30,"",F31))</f>
        <v/>
      </c>
      <c r="B31" s="5">
        <f>IF(G31="","",IF(G31=G30,"",G31))</f>
        <v/>
      </c>
      <c r="C31" s="6">
        <f>IF(H31="","",IF(H31=H30,"",H31))</f>
        <v/>
      </c>
      <c r="D31" s="5">
        <f>IF(G31="","", I31 &amp; "-FL" &amp; TEXT(J31, "00"))</f>
        <v/>
      </c>
      <c r="E31" s="12" t="n"/>
      <c r="F31" s="15">
        <f>IF(ROW()-1&gt;SUM(Buildings!$D$2:$D$101), "", INDEX(Buildings!$F$2:$F$101, IFERROR(MATCH(ROW()-1-0.0001, Buildings!$G$2:$G$101, 1), 0)+1))</f>
        <v/>
      </c>
      <c r="G31" s="14">
        <f>IF(ROW()-1&gt;SUM(Buildings!$D$2:$D$101), "", INDEX(Buildings!$B$2:$B$101, IFERROR(MATCH(ROW()-1-0.0001, Buildings!$G$2:$G$101, 1), 0)+1))</f>
        <v/>
      </c>
      <c r="H31" s="15">
        <f>IF(ROW()-1&gt;SUM(Buildings!$D$2:$D$101), "", INDEX(Buildings!$C$2:$C$101, IFERROR(MATCH(ROW()-1-0.0001, Buildings!$G$2:$G$101, 1), 0)+1))</f>
        <v/>
      </c>
      <c r="I31" s="14">
        <f>IF(G31="","",VALUE(SUBSTITUTE(G31,"BLD","")))</f>
        <v/>
      </c>
      <c r="J31" s="14">
        <f>IF(G31="","", (ROW()-1)-IFERROR(INDEX(Buildings!$G$2:$G$101, MATCH(ROW()-1-0.0001, Buildings!$G$2:$G$101, 1)), 0))</f>
        <v/>
      </c>
      <c r="K31" s="15">
        <f>IF(G31="","", CHOOSE(MIN(J31, 10), "First", "Second", "Third", "Fourth", "Fifth", "Sixth", "Seventh", "Eighth", "Ninth", "Tenth") &amp; " Floor")</f>
        <v/>
      </c>
      <c r="L31" s="13">
        <f>IF(G31="","",L30+IF(ISNUMBER(E31),E31,0))</f>
        <v/>
      </c>
    </row>
    <row r="32">
      <c r="A32" s="6">
        <f>IF(F32="","",IF(F32=F31,"",F32))</f>
        <v/>
      </c>
      <c r="B32" s="5">
        <f>IF(G32="","",IF(G32=G31,"",G32))</f>
        <v/>
      </c>
      <c r="C32" s="6">
        <f>IF(H32="","",IF(H32=H31,"",H32))</f>
        <v/>
      </c>
      <c r="D32" s="5">
        <f>IF(G32="","", I32 &amp; "-FL" &amp; TEXT(J32, "00"))</f>
        <v/>
      </c>
      <c r="E32" s="12" t="n"/>
      <c r="F32" s="15">
        <f>IF(ROW()-1&gt;SUM(Buildings!$D$2:$D$101), "", INDEX(Buildings!$F$2:$F$101, IFERROR(MATCH(ROW()-1-0.0001, Buildings!$G$2:$G$101, 1), 0)+1))</f>
        <v/>
      </c>
      <c r="G32" s="14">
        <f>IF(ROW()-1&gt;SUM(Buildings!$D$2:$D$101), "", INDEX(Buildings!$B$2:$B$101, IFERROR(MATCH(ROW()-1-0.0001, Buildings!$G$2:$G$101, 1), 0)+1))</f>
        <v/>
      </c>
      <c r="H32" s="15">
        <f>IF(ROW()-1&gt;SUM(Buildings!$D$2:$D$101), "", INDEX(Buildings!$C$2:$C$101, IFERROR(MATCH(ROW()-1-0.0001, Buildings!$G$2:$G$101, 1), 0)+1))</f>
        <v/>
      </c>
      <c r="I32" s="14">
        <f>IF(G32="","",VALUE(SUBSTITUTE(G32,"BLD","")))</f>
        <v/>
      </c>
      <c r="J32" s="14">
        <f>IF(G32="","", (ROW()-1)-IFERROR(INDEX(Buildings!$G$2:$G$101, MATCH(ROW()-1-0.0001, Buildings!$G$2:$G$101, 1)), 0))</f>
        <v/>
      </c>
      <c r="K32" s="15">
        <f>IF(G32="","", CHOOSE(MIN(J32, 10), "First", "Second", "Third", "Fourth", "Fifth", "Sixth", "Seventh", "Eighth", "Ninth", "Tenth") &amp; " Floor")</f>
        <v/>
      </c>
      <c r="L32" s="13">
        <f>IF(G32="","",L31+IF(ISNUMBER(E32),E32,0))</f>
        <v/>
      </c>
    </row>
    <row r="33">
      <c r="A33" s="6">
        <f>IF(F33="","",IF(F33=F32,"",F33))</f>
        <v/>
      </c>
      <c r="B33" s="5">
        <f>IF(G33="","",IF(G33=G32,"",G33))</f>
        <v/>
      </c>
      <c r="C33" s="6">
        <f>IF(H33="","",IF(H33=H32,"",H33))</f>
        <v/>
      </c>
      <c r="D33" s="5">
        <f>IF(G33="","", I33 &amp; "-FL" &amp; TEXT(J33, "00"))</f>
        <v/>
      </c>
      <c r="E33" s="12" t="n"/>
      <c r="F33" s="15">
        <f>IF(ROW()-1&gt;SUM(Buildings!$D$2:$D$101), "", INDEX(Buildings!$F$2:$F$101, IFERROR(MATCH(ROW()-1-0.0001, Buildings!$G$2:$G$101, 1), 0)+1))</f>
        <v/>
      </c>
      <c r="G33" s="14">
        <f>IF(ROW()-1&gt;SUM(Buildings!$D$2:$D$101), "", INDEX(Buildings!$B$2:$B$101, IFERROR(MATCH(ROW()-1-0.0001, Buildings!$G$2:$G$101, 1), 0)+1))</f>
        <v/>
      </c>
      <c r="H33" s="15">
        <f>IF(ROW()-1&gt;SUM(Buildings!$D$2:$D$101), "", INDEX(Buildings!$C$2:$C$101, IFERROR(MATCH(ROW()-1-0.0001, Buildings!$G$2:$G$101, 1), 0)+1))</f>
        <v/>
      </c>
      <c r="I33" s="14">
        <f>IF(G33="","",VALUE(SUBSTITUTE(G33,"BLD","")))</f>
        <v/>
      </c>
      <c r="J33" s="14">
        <f>IF(G33="","", (ROW()-1)-IFERROR(INDEX(Buildings!$G$2:$G$101, MATCH(ROW()-1-0.0001, Buildings!$G$2:$G$101, 1)), 0))</f>
        <v/>
      </c>
      <c r="K33" s="15">
        <f>IF(G33="","", CHOOSE(MIN(J33, 10), "First", "Second", "Third", "Fourth", "Fifth", "Sixth", "Seventh", "Eighth", "Ninth", "Tenth") &amp; " Floor")</f>
        <v/>
      </c>
      <c r="L33" s="13">
        <f>IF(G33="","",L32+IF(ISNUMBER(E33),E33,0))</f>
        <v/>
      </c>
    </row>
    <row r="34">
      <c r="A34" s="6">
        <f>IF(F34="","",IF(F34=F33,"",F34))</f>
        <v/>
      </c>
      <c r="B34" s="5">
        <f>IF(G34="","",IF(G34=G33,"",G34))</f>
        <v/>
      </c>
      <c r="C34" s="6">
        <f>IF(H34="","",IF(H34=H33,"",H34))</f>
        <v/>
      </c>
      <c r="D34" s="5">
        <f>IF(G34="","", I34 &amp; "-FL" &amp; TEXT(J34, "00"))</f>
        <v/>
      </c>
      <c r="E34" s="12" t="n"/>
      <c r="F34" s="15">
        <f>IF(ROW()-1&gt;SUM(Buildings!$D$2:$D$101), "", INDEX(Buildings!$F$2:$F$101, IFERROR(MATCH(ROW()-1-0.0001, Buildings!$G$2:$G$101, 1), 0)+1))</f>
        <v/>
      </c>
      <c r="G34" s="14">
        <f>IF(ROW()-1&gt;SUM(Buildings!$D$2:$D$101), "", INDEX(Buildings!$B$2:$B$101, IFERROR(MATCH(ROW()-1-0.0001, Buildings!$G$2:$G$101, 1), 0)+1))</f>
        <v/>
      </c>
      <c r="H34" s="15">
        <f>IF(ROW()-1&gt;SUM(Buildings!$D$2:$D$101), "", INDEX(Buildings!$C$2:$C$101, IFERROR(MATCH(ROW()-1-0.0001, Buildings!$G$2:$G$101, 1), 0)+1))</f>
        <v/>
      </c>
      <c r="I34" s="14">
        <f>IF(G34="","",VALUE(SUBSTITUTE(G34,"BLD","")))</f>
        <v/>
      </c>
      <c r="J34" s="14">
        <f>IF(G34="","", (ROW()-1)-IFERROR(INDEX(Buildings!$G$2:$G$101, MATCH(ROW()-1-0.0001, Buildings!$G$2:$G$101, 1)), 0))</f>
        <v/>
      </c>
      <c r="K34" s="15">
        <f>IF(G34="","", CHOOSE(MIN(J34, 10), "First", "Second", "Third", "Fourth", "Fifth", "Sixth", "Seventh", "Eighth", "Ninth", "Tenth") &amp; " Floor")</f>
        <v/>
      </c>
      <c r="L34" s="13">
        <f>IF(G34="","",L33+IF(ISNUMBER(E34),E34,0))</f>
        <v/>
      </c>
    </row>
    <row r="35">
      <c r="A35" s="6">
        <f>IF(F35="","",IF(F35=F34,"",F35))</f>
        <v/>
      </c>
      <c r="B35" s="5">
        <f>IF(G35="","",IF(G35=G34,"",G35))</f>
        <v/>
      </c>
      <c r="C35" s="6">
        <f>IF(H35="","",IF(H35=H34,"",H35))</f>
        <v/>
      </c>
      <c r="D35" s="5">
        <f>IF(G35="","", I35 &amp; "-FL" &amp; TEXT(J35, "00"))</f>
        <v/>
      </c>
      <c r="E35" s="12" t="n"/>
      <c r="F35" s="15">
        <f>IF(ROW()-1&gt;SUM(Buildings!$D$2:$D$101), "", INDEX(Buildings!$F$2:$F$101, IFERROR(MATCH(ROW()-1-0.0001, Buildings!$G$2:$G$101, 1), 0)+1))</f>
        <v/>
      </c>
      <c r="G35" s="14">
        <f>IF(ROW()-1&gt;SUM(Buildings!$D$2:$D$101), "", INDEX(Buildings!$B$2:$B$101, IFERROR(MATCH(ROW()-1-0.0001, Buildings!$G$2:$G$101, 1), 0)+1))</f>
        <v/>
      </c>
      <c r="H35" s="15">
        <f>IF(ROW()-1&gt;SUM(Buildings!$D$2:$D$101), "", INDEX(Buildings!$C$2:$C$101, IFERROR(MATCH(ROW()-1-0.0001, Buildings!$G$2:$G$101, 1), 0)+1))</f>
        <v/>
      </c>
      <c r="I35" s="14">
        <f>IF(G35="","",VALUE(SUBSTITUTE(G35,"BLD","")))</f>
        <v/>
      </c>
      <c r="J35" s="14">
        <f>IF(G35="","", (ROW()-1)-IFERROR(INDEX(Buildings!$G$2:$G$101, MATCH(ROW()-1-0.0001, Buildings!$G$2:$G$101, 1)), 0))</f>
        <v/>
      </c>
      <c r="K35" s="15">
        <f>IF(G35="","", CHOOSE(MIN(J35, 10), "First", "Second", "Third", "Fourth", "Fifth", "Sixth", "Seventh", "Eighth", "Ninth", "Tenth") &amp; " Floor")</f>
        <v/>
      </c>
      <c r="L35" s="13">
        <f>IF(G35="","",L34+IF(ISNUMBER(E35),E35,0))</f>
        <v/>
      </c>
    </row>
    <row r="36">
      <c r="A36" s="6">
        <f>IF(F36="","",IF(F36=F35,"",F36))</f>
        <v/>
      </c>
      <c r="B36" s="5">
        <f>IF(G36="","",IF(G36=G35,"",G36))</f>
        <v/>
      </c>
      <c r="C36" s="6">
        <f>IF(H36="","",IF(H36=H35,"",H36))</f>
        <v/>
      </c>
      <c r="D36" s="5">
        <f>IF(G36="","", I36 &amp; "-FL" &amp; TEXT(J36, "00"))</f>
        <v/>
      </c>
      <c r="E36" s="12" t="n"/>
      <c r="F36" s="15">
        <f>IF(ROW()-1&gt;SUM(Buildings!$D$2:$D$101), "", INDEX(Buildings!$F$2:$F$101, IFERROR(MATCH(ROW()-1-0.0001, Buildings!$G$2:$G$101, 1), 0)+1))</f>
        <v/>
      </c>
      <c r="G36" s="14">
        <f>IF(ROW()-1&gt;SUM(Buildings!$D$2:$D$101), "", INDEX(Buildings!$B$2:$B$101, IFERROR(MATCH(ROW()-1-0.0001, Buildings!$G$2:$G$101, 1), 0)+1))</f>
        <v/>
      </c>
      <c r="H36" s="15">
        <f>IF(ROW()-1&gt;SUM(Buildings!$D$2:$D$101), "", INDEX(Buildings!$C$2:$C$101, IFERROR(MATCH(ROW()-1-0.0001, Buildings!$G$2:$G$101, 1), 0)+1))</f>
        <v/>
      </c>
      <c r="I36" s="14">
        <f>IF(G36="","",VALUE(SUBSTITUTE(G36,"BLD","")))</f>
        <v/>
      </c>
      <c r="J36" s="14">
        <f>IF(G36="","", (ROW()-1)-IFERROR(INDEX(Buildings!$G$2:$G$101, MATCH(ROW()-1-0.0001, Buildings!$G$2:$G$101, 1)), 0))</f>
        <v/>
      </c>
      <c r="K36" s="15">
        <f>IF(G36="","", CHOOSE(MIN(J36, 10), "First", "Second", "Third", "Fourth", "Fifth", "Sixth", "Seventh", "Eighth", "Ninth", "Tenth") &amp; " Floor")</f>
        <v/>
      </c>
      <c r="L36" s="13">
        <f>IF(G36="","",L35+IF(ISNUMBER(E36),E36,0))</f>
        <v/>
      </c>
    </row>
    <row r="37">
      <c r="A37" s="6">
        <f>IF(F37="","",IF(F37=F36,"",F37))</f>
        <v/>
      </c>
      <c r="B37" s="5">
        <f>IF(G37="","",IF(G37=G36,"",G37))</f>
        <v/>
      </c>
      <c r="C37" s="6">
        <f>IF(H37="","",IF(H37=H36,"",H37))</f>
        <v/>
      </c>
      <c r="D37" s="5">
        <f>IF(G37="","", I37 &amp; "-FL" &amp; TEXT(J37, "00"))</f>
        <v/>
      </c>
      <c r="E37" s="12" t="n"/>
      <c r="F37" s="15">
        <f>IF(ROW()-1&gt;SUM(Buildings!$D$2:$D$101), "", INDEX(Buildings!$F$2:$F$101, IFERROR(MATCH(ROW()-1-0.0001, Buildings!$G$2:$G$101, 1), 0)+1))</f>
        <v/>
      </c>
      <c r="G37" s="14">
        <f>IF(ROW()-1&gt;SUM(Buildings!$D$2:$D$101), "", INDEX(Buildings!$B$2:$B$101, IFERROR(MATCH(ROW()-1-0.0001, Buildings!$G$2:$G$101, 1), 0)+1))</f>
        <v/>
      </c>
      <c r="H37" s="15">
        <f>IF(ROW()-1&gt;SUM(Buildings!$D$2:$D$101), "", INDEX(Buildings!$C$2:$C$101, IFERROR(MATCH(ROW()-1-0.0001, Buildings!$G$2:$G$101, 1), 0)+1))</f>
        <v/>
      </c>
      <c r="I37" s="14">
        <f>IF(G37="","",VALUE(SUBSTITUTE(G37,"BLD","")))</f>
        <v/>
      </c>
      <c r="J37" s="14">
        <f>IF(G37="","", (ROW()-1)-IFERROR(INDEX(Buildings!$G$2:$G$101, MATCH(ROW()-1-0.0001, Buildings!$G$2:$G$101, 1)), 0))</f>
        <v/>
      </c>
      <c r="K37" s="15">
        <f>IF(G37="","", CHOOSE(MIN(J37, 10), "First", "Second", "Third", "Fourth", "Fifth", "Sixth", "Seventh", "Eighth", "Ninth", "Tenth") &amp; " Floor")</f>
        <v/>
      </c>
      <c r="L37" s="13">
        <f>IF(G37="","",L36+IF(ISNUMBER(E37),E37,0))</f>
        <v/>
      </c>
    </row>
    <row r="38">
      <c r="A38" s="6">
        <f>IF(F38="","",IF(F38=F37,"",F38))</f>
        <v/>
      </c>
      <c r="B38" s="5">
        <f>IF(G38="","",IF(G38=G37,"",G38))</f>
        <v/>
      </c>
      <c r="C38" s="6">
        <f>IF(H38="","",IF(H38=H37,"",H38))</f>
        <v/>
      </c>
      <c r="D38" s="5">
        <f>IF(G38="","", I38 &amp; "-FL" &amp; TEXT(J38, "00"))</f>
        <v/>
      </c>
      <c r="E38" s="12" t="n"/>
      <c r="F38" s="15">
        <f>IF(ROW()-1&gt;SUM(Buildings!$D$2:$D$101), "", INDEX(Buildings!$F$2:$F$101, IFERROR(MATCH(ROW()-1-0.0001, Buildings!$G$2:$G$101, 1), 0)+1))</f>
        <v/>
      </c>
      <c r="G38" s="14">
        <f>IF(ROW()-1&gt;SUM(Buildings!$D$2:$D$101), "", INDEX(Buildings!$B$2:$B$101, IFERROR(MATCH(ROW()-1-0.0001, Buildings!$G$2:$G$101, 1), 0)+1))</f>
        <v/>
      </c>
      <c r="H38" s="15">
        <f>IF(ROW()-1&gt;SUM(Buildings!$D$2:$D$101), "", INDEX(Buildings!$C$2:$C$101, IFERROR(MATCH(ROW()-1-0.0001, Buildings!$G$2:$G$101, 1), 0)+1))</f>
        <v/>
      </c>
      <c r="I38" s="14">
        <f>IF(G38="","",VALUE(SUBSTITUTE(G38,"BLD","")))</f>
        <v/>
      </c>
      <c r="J38" s="14">
        <f>IF(G38="","", (ROW()-1)-IFERROR(INDEX(Buildings!$G$2:$G$101, MATCH(ROW()-1-0.0001, Buildings!$G$2:$G$101, 1)), 0))</f>
        <v/>
      </c>
      <c r="K38" s="15">
        <f>IF(G38="","", CHOOSE(MIN(J38, 10), "First", "Second", "Third", "Fourth", "Fifth", "Sixth", "Seventh", "Eighth", "Ninth", "Tenth") &amp; " Floor")</f>
        <v/>
      </c>
      <c r="L38" s="13">
        <f>IF(G38="","",L37+IF(ISNUMBER(E38),E38,0))</f>
        <v/>
      </c>
    </row>
    <row r="39">
      <c r="A39" s="6">
        <f>IF(F39="","",IF(F39=F38,"",F39))</f>
        <v/>
      </c>
      <c r="B39" s="5">
        <f>IF(G39="","",IF(G39=G38,"",G39))</f>
        <v/>
      </c>
      <c r="C39" s="6">
        <f>IF(H39="","",IF(H39=H38,"",H39))</f>
        <v/>
      </c>
      <c r="D39" s="5">
        <f>IF(G39="","", I39 &amp; "-FL" &amp; TEXT(J39, "00"))</f>
        <v/>
      </c>
      <c r="E39" s="12" t="n"/>
      <c r="F39" s="15">
        <f>IF(ROW()-1&gt;SUM(Buildings!$D$2:$D$101), "", INDEX(Buildings!$F$2:$F$101, IFERROR(MATCH(ROW()-1-0.0001, Buildings!$G$2:$G$101, 1), 0)+1))</f>
        <v/>
      </c>
      <c r="G39" s="14">
        <f>IF(ROW()-1&gt;SUM(Buildings!$D$2:$D$101), "", INDEX(Buildings!$B$2:$B$101, IFERROR(MATCH(ROW()-1-0.0001, Buildings!$G$2:$G$101, 1), 0)+1))</f>
        <v/>
      </c>
      <c r="H39" s="15">
        <f>IF(ROW()-1&gt;SUM(Buildings!$D$2:$D$101), "", INDEX(Buildings!$C$2:$C$101, IFERROR(MATCH(ROW()-1-0.0001, Buildings!$G$2:$G$101, 1), 0)+1))</f>
        <v/>
      </c>
      <c r="I39" s="14">
        <f>IF(G39="","",VALUE(SUBSTITUTE(G39,"BLD","")))</f>
        <v/>
      </c>
      <c r="J39" s="14">
        <f>IF(G39="","", (ROW()-1)-IFERROR(INDEX(Buildings!$G$2:$G$101, MATCH(ROW()-1-0.0001, Buildings!$G$2:$G$101, 1)), 0))</f>
        <v/>
      </c>
      <c r="K39" s="15">
        <f>IF(G39="","", CHOOSE(MIN(J39, 10), "First", "Second", "Third", "Fourth", "Fifth", "Sixth", "Seventh", "Eighth", "Ninth", "Tenth") &amp; " Floor")</f>
        <v/>
      </c>
      <c r="L39" s="13">
        <f>IF(G39="","",L38+IF(ISNUMBER(E39),E39,0))</f>
        <v/>
      </c>
    </row>
    <row r="40">
      <c r="A40" s="6">
        <f>IF(F40="","",IF(F40=F39,"",F40))</f>
        <v/>
      </c>
      <c r="B40" s="5">
        <f>IF(G40="","",IF(G40=G39,"",G40))</f>
        <v/>
      </c>
      <c r="C40" s="6">
        <f>IF(H40="","",IF(H40=H39,"",H40))</f>
        <v/>
      </c>
      <c r="D40" s="5">
        <f>IF(G40="","", I40 &amp; "-FL" &amp; TEXT(J40, "00"))</f>
        <v/>
      </c>
      <c r="E40" s="12" t="n"/>
      <c r="F40" s="15">
        <f>IF(ROW()-1&gt;SUM(Buildings!$D$2:$D$101), "", INDEX(Buildings!$F$2:$F$101, IFERROR(MATCH(ROW()-1-0.0001, Buildings!$G$2:$G$101, 1), 0)+1))</f>
        <v/>
      </c>
      <c r="G40" s="14">
        <f>IF(ROW()-1&gt;SUM(Buildings!$D$2:$D$101), "", INDEX(Buildings!$B$2:$B$101, IFERROR(MATCH(ROW()-1-0.0001, Buildings!$G$2:$G$101, 1), 0)+1))</f>
        <v/>
      </c>
      <c r="H40" s="15">
        <f>IF(ROW()-1&gt;SUM(Buildings!$D$2:$D$101), "", INDEX(Buildings!$C$2:$C$101, IFERROR(MATCH(ROW()-1-0.0001, Buildings!$G$2:$G$101, 1), 0)+1))</f>
        <v/>
      </c>
      <c r="I40" s="14">
        <f>IF(G40="","",VALUE(SUBSTITUTE(G40,"BLD","")))</f>
        <v/>
      </c>
      <c r="J40" s="14">
        <f>IF(G40="","", (ROW()-1)-IFERROR(INDEX(Buildings!$G$2:$G$101, MATCH(ROW()-1-0.0001, Buildings!$G$2:$G$101, 1)), 0))</f>
        <v/>
      </c>
      <c r="K40" s="15">
        <f>IF(G40="","", CHOOSE(MIN(J40, 10), "First", "Second", "Third", "Fourth", "Fifth", "Sixth", "Seventh", "Eighth", "Ninth", "Tenth") &amp; " Floor")</f>
        <v/>
      </c>
      <c r="L40" s="13">
        <f>IF(G40="","",L39+IF(ISNUMBER(E40),E40,0))</f>
        <v/>
      </c>
    </row>
    <row r="41">
      <c r="A41" s="6">
        <f>IF(F41="","",IF(F41=F40,"",F41))</f>
        <v/>
      </c>
      <c r="B41" s="5">
        <f>IF(G41="","",IF(G41=G40,"",G41))</f>
        <v/>
      </c>
      <c r="C41" s="6">
        <f>IF(H41="","",IF(H41=H40,"",H41))</f>
        <v/>
      </c>
      <c r="D41" s="5">
        <f>IF(G41="","", I41 &amp; "-FL" &amp; TEXT(J41, "00"))</f>
        <v/>
      </c>
      <c r="E41" s="12" t="n"/>
      <c r="F41" s="15">
        <f>IF(ROW()-1&gt;SUM(Buildings!$D$2:$D$101), "", INDEX(Buildings!$F$2:$F$101, IFERROR(MATCH(ROW()-1-0.0001, Buildings!$G$2:$G$101, 1), 0)+1))</f>
        <v/>
      </c>
      <c r="G41" s="14">
        <f>IF(ROW()-1&gt;SUM(Buildings!$D$2:$D$101), "", INDEX(Buildings!$B$2:$B$101, IFERROR(MATCH(ROW()-1-0.0001, Buildings!$G$2:$G$101, 1), 0)+1))</f>
        <v/>
      </c>
      <c r="H41" s="15">
        <f>IF(ROW()-1&gt;SUM(Buildings!$D$2:$D$101), "", INDEX(Buildings!$C$2:$C$101, IFERROR(MATCH(ROW()-1-0.0001, Buildings!$G$2:$G$101, 1), 0)+1))</f>
        <v/>
      </c>
      <c r="I41" s="14">
        <f>IF(G41="","",VALUE(SUBSTITUTE(G41,"BLD","")))</f>
        <v/>
      </c>
      <c r="J41" s="14">
        <f>IF(G41="","", (ROW()-1)-IFERROR(INDEX(Buildings!$G$2:$G$101, MATCH(ROW()-1-0.0001, Buildings!$G$2:$G$101, 1)), 0))</f>
        <v/>
      </c>
      <c r="K41" s="15">
        <f>IF(G41="","", CHOOSE(MIN(J41, 10), "First", "Second", "Third", "Fourth", "Fifth", "Sixth", "Seventh", "Eighth", "Ninth", "Tenth") &amp; " Floor")</f>
        <v/>
      </c>
      <c r="L41" s="13">
        <f>IF(G41="","",L40+IF(ISNUMBER(E41),E41,0))</f>
        <v/>
      </c>
    </row>
    <row r="42">
      <c r="A42" s="6">
        <f>IF(F42="","",IF(F42=F41,"",F42))</f>
        <v/>
      </c>
      <c r="B42" s="5">
        <f>IF(G42="","",IF(G42=G41,"",G42))</f>
        <v/>
      </c>
      <c r="C42" s="6">
        <f>IF(H42="","",IF(H42=H41,"",H42))</f>
        <v/>
      </c>
      <c r="D42" s="5">
        <f>IF(G42="","", I42 &amp; "-FL" &amp; TEXT(J42, "00"))</f>
        <v/>
      </c>
      <c r="E42" s="12" t="n"/>
      <c r="F42" s="15">
        <f>IF(ROW()-1&gt;SUM(Buildings!$D$2:$D$101), "", INDEX(Buildings!$F$2:$F$101, IFERROR(MATCH(ROW()-1-0.0001, Buildings!$G$2:$G$101, 1), 0)+1))</f>
        <v/>
      </c>
      <c r="G42" s="14">
        <f>IF(ROW()-1&gt;SUM(Buildings!$D$2:$D$101), "", INDEX(Buildings!$B$2:$B$101, IFERROR(MATCH(ROW()-1-0.0001, Buildings!$G$2:$G$101, 1), 0)+1))</f>
        <v/>
      </c>
      <c r="H42" s="15">
        <f>IF(ROW()-1&gt;SUM(Buildings!$D$2:$D$101), "", INDEX(Buildings!$C$2:$C$101, IFERROR(MATCH(ROW()-1-0.0001, Buildings!$G$2:$G$101, 1), 0)+1))</f>
        <v/>
      </c>
      <c r="I42" s="14">
        <f>IF(G42="","",VALUE(SUBSTITUTE(G42,"BLD","")))</f>
        <v/>
      </c>
      <c r="J42" s="14">
        <f>IF(G42="","", (ROW()-1)-IFERROR(INDEX(Buildings!$G$2:$G$101, MATCH(ROW()-1-0.0001, Buildings!$G$2:$G$101, 1)), 0))</f>
        <v/>
      </c>
      <c r="K42" s="15">
        <f>IF(G42="","", CHOOSE(MIN(J42, 10), "First", "Second", "Third", "Fourth", "Fifth", "Sixth", "Seventh", "Eighth", "Ninth", "Tenth") &amp; " Floor")</f>
        <v/>
      </c>
      <c r="L42" s="13">
        <f>IF(G42="","",L41+IF(ISNUMBER(E42),E42,0))</f>
        <v/>
      </c>
    </row>
    <row r="43">
      <c r="A43" s="6">
        <f>IF(F43="","",IF(F43=F42,"",F43))</f>
        <v/>
      </c>
      <c r="B43" s="5">
        <f>IF(G43="","",IF(G43=G42,"",G43))</f>
        <v/>
      </c>
      <c r="C43" s="6">
        <f>IF(H43="","",IF(H43=H42,"",H43))</f>
        <v/>
      </c>
      <c r="D43" s="5">
        <f>IF(G43="","", I43 &amp; "-FL" &amp; TEXT(J43, "00"))</f>
        <v/>
      </c>
      <c r="E43" s="12" t="n"/>
      <c r="F43" s="15">
        <f>IF(ROW()-1&gt;SUM(Buildings!$D$2:$D$101), "", INDEX(Buildings!$F$2:$F$101, IFERROR(MATCH(ROW()-1-0.0001, Buildings!$G$2:$G$101, 1), 0)+1))</f>
        <v/>
      </c>
      <c r="G43" s="14">
        <f>IF(ROW()-1&gt;SUM(Buildings!$D$2:$D$101), "", INDEX(Buildings!$B$2:$B$101, IFERROR(MATCH(ROW()-1-0.0001, Buildings!$G$2:$G$101, 1), 0)+1))</f>
        <v/>
      </c>
      <c r="H43" s="15">
        <f>IF(ROW()-1&gt;SUM(Buildings!$D$2:$D$101), "", INDEX(Buildings!$C$2:$C$101, IFERROR(MATCH(ROW()-1-0.0001, Buildings!$G$2:$G$101, 1), 0)+1))</f>
        <v/>
      </c>
      <c r="I43" s="14">
        <f>IF(G43="","",VALUE(SUBSTITUTE(G43,"BLD","")))</f>
        <v/>
      </c>
      <c r="J43" s="14">
        <f>IF(G43="","", (ROW()-1)-IFERROR(INDEX(Buildings!$G$2:$G$101, MATCH(ROW()-1-0.0001, Buildings!$G$2:$G$101, 1)), 0))</f>
        <v/>
      </c>
      <c r="K43" s="15">
        <f>IF(G43="","", CHOOSE(MIN(J43, 10), "First", "Second", "Third", "Fourth", "Fifth", "Sixth", "Seventh", "Eighth", "Ninth", "Tenth") &amp; " Floor")</f>
        <v/>
      </c>
      <c r="L43" s="13">
        <f>IF(G43="","",L42+IF(ISNUMBER(E43),E43,0))</f>
        <v/>
      </c>
    </row>
    <row r="44">
      <c r="A44" s="6">
        <f>IF(F44="","",IF(F44=F43,"",F44))</f>
        <v/>
      </c>
      <c r="B44" s="5">
        <f>IF(G44="","",IF(G44=G43,"",G44))</f>
        <v/>
      </c>
      <c r="C44" s="6">
        <f>IF(H44="","",IF(H44=H43,"",H44))</f>
        <v/>
      </c>
      <c r="D44" s="5">
        <f>IF(G44="","", I44 &amp; "-FL" &amp; TEXT(J44, "00"))</f>
        <v/>
      </c>
      <c r="E44" s="12" t="n"/>
      <c r="F44" s="15">
        <f>IF(ROW()-1&gt;SUM(Buildings!$D$2:$D$101), "", INDEX(Buildings!$F$2:$F$101, IFERROR(MATCH(ROW()-1-0.0001, Buildings!$G$2:$G$101, 1), 0)+1))</f>
        <v/>
      </c>
      <c r="G44" s="14">
        <f>IF(ROW()-1&gt;SUM(Buildings!$D$2:$D$101), "", INDEX(Buildings!$B$2:$B$101, IFERROR(MATCH(ROW()-1-0.0001, Buildings!$G$2:$G$101, 1), 0)+1))</f>
        <v/>
      </c>
      <c r="H44" s="15">
        <f>IF(ROW()-1&gt;SUM(Buildings!$D$2:$D$101), "", INDEX(Buildings!$C$2:$C$101, IFERROR(MATCH(ROW()-1-0.0001, Buildings!$G$2:$G$101, 1), 0)+1))</f>
        <v/>
      </c>
      <c r="I44" s="14">
        <f>IF(G44="","",VALUE(SUBSTITUTE(G44,"BLD","")))</f>
        <v/>
      </c>
      <c r="J44" s="14">
        <f>IF(G44="","", (ROW()-1)-IFERROR(INDEX(Buildings!$G$2:$G$101, MATCH(ROW()-1-0.0001, Buildings!$G$2:$G$101, 1)), 0))</f>
        <v/>
      </c>
      <c r="K44" s="15">
        <f>IF(G44="","", CHOOSE(MIN(J44, 10), "First", "Second", "Third", "Fourth", "Fifth", "Sixth", "Seventh", "Eighth", "Ninth", "Tenth") &amp; " Floor")</f>
        <v/>
      </c>
      <c r="L44" s="13">
        <f>IF(G44="","",L43+IF(ISNUMBER(E44),E44,0))</f>
        <v/>
      </c>
    </row>
    <row r="45">
      <c r="A45" s="6">
        <f>IF(F45="","",IF(F45=F44,"",F45))</f>
        <v/>
      </c>
      <c r="B45" s="5">
        <f>IF(G45="","",IF(G45=G44,"",G45))</f>
        <v/>
      </c>
      <c r="C45" s="6">
        <f>IF(H45="","",IF(H45=H44,"",H45))</f>
        <v/>
      </c>
      <c r="D45" s="5">
        <f>IF(G45="","", I45 &amp; "-FL" &amp; TEXT(J45, "00"))</f>
        <v/>
      </c>
      <c r="E45" s="12" t="n"/>
      <c r="F45" s="15">
        <f>IF(ROW()-1&gt;SUM(Buildings!$D$2:$D$101), "", INDEX(Buildings!$F$2:$F$101, IFERROR(MATCH(ROW()-1-0.0001, Buildings!$G$2:$G$101, 1), 0)+1))</f>
        <v/>
      </c>
      <c r="G45" s="14">
        <f>IF(ROW()-1&gt;SUM(Buildings!$D$2:$D$101), "", INDEX(Buildings!$B$2:$B$101, IFERROR(MATCH(ROW()-1-0.0001, Buildings!$G$2:$G$101, 1), 0)+1))</f>
        <v/>
      </c>
      <c r="H45" s="15">
        <f>IF(ROW()-1&gt;SUM(Buildings!$D$2:$D$101), "", INDEX(Buildings!$C$2:$C$101, IFERROR(MATCH(ROW()-1-0.0001, Buildings!$G$2:$G$101, 1), 0)+1))</f>
        <v/>
      </c>
      <c r="I45" s="14">
        <f>IF(G45="","",VALUE(SUBSTITUTE(G45,"BLD","")))</f>
        <v/>
      </c>
      <c r="J45" s="14">
        <f>IF(G45="","", (ROW()-1)-IFERROR(INDEX(Buildings!$G$2:$G$101, MATCH(ROW()-1-0.0001, Buildings!$G$2:$G$101, 1)), 0))</f>
        <v/>
      </c>
      <c r="K45" s="15">
        <f>IF(G45="","", CHOOSE(MIN(J45, 10), "First", "Second", "Third", "Fourth", "Fifth", "Sixth", "Seventh", "Eighth", "Ninth", "Tenth") &amp; " Floor")</f>
        <v/>
      </c>
      <c r="L45" s="13">
        <f>IF(G45="","",L44+IF(ISNUMBER(E45),E45,0))</f>
        <v/>
      </c>
    </row>
    <row r="46">
      <c r="A46" s="6">
        <f>IF(F46="","",IF(F46=F45,"",F46))</f>
        <v/>
      </c>
      <c r="B46" s="5">
        <f>IF(G46="","",IF(G46=G45,"",G46))</f>
        <v/>
      </c>
      <c r="C46" s="6">
        <f>IF(H46="","",IF(H46=H45,"",H46))</f>
        <v/>
      </c>
      <c r="D46" s="5">
        <f>IF(G46="","", I46 &amp; "-FL" &amp; TEXT(J46, "00"))</f>
        <v/>
      </c>
      <c r="E46" s="12" t="n"/>
      <c r="F46" s="15">
        <f>IF(ROW()-1&gt;SUM(Buildings!$D$2:$D$101), "", INDEX(Buildings!$F$2:$F$101, IFERROR(MATCH(ROW()-1-0.0001, Buildings!$G$2:$G$101, 1), 0)+1))</f>
        <v/>
      </c>
      <c r="G46" s="14">
        <f>IF(ROW()-1&gt;SUM(Buildings!$D$2:$D$101), "", INDEX(Buildings!$B$2:$B$101, IFERROR(MATCH(ROW()-1-0.0001, Buildings!$G$2:$G$101, 1), 0)+1))</f>
        <v/>
      </c>
      <c r="H46" s="15">
        <f>IF(ROW()-1&gt;SUM(Buildings!$D$2:$D$101), "", INDEX(Buildings!$C$2:$C$101, IFERROR(MATCH(ROW()-1-0.0001, Buildings!$G$2:$G$101, 1), 0)+1))</f>
        <v/>
      </c>
      <c r="I46" s="14">
        <f>IF(G46="","",VALUE(SUBSTITUTE(G46,"BLD","")))</f>
        <v/>
      </c>
      <c r="J46" s="14">
        <f>IF(G46="","", (ROW()-1)-IFERROR(INDEX(Buildings!$G$2:$G$101, MATCH(ROW()-1-0.0001, Buildings!$G$2:$G$101, 1)), 0))</f>
        <v/>
      </c>
      <c r="K46" s="15">
        <f>IF(G46="","", CHOOSE(MIN(J46, 10), "First", "Second", "Third", "Fourth", "Fifth", "Sixth", "Seventh", "Eighth", "Ninth", "Tenth") &amp; " Floor")</f>
        <v/>
      </c>
      <c r="L46" s="13">
        <f>IF(G46="","",L45+IF(ISNUMBER(E46),E46,0))</f>
        <v/>
      </c>
    </row>
    <row r="47">
      <c r="A47" s="6">
        <f>IF(F47="","",IF(F47=F46,"",F47))</f>
        <v/>
      </c>
      <c r="B47" s="5">
        <f>IF(G47="","",IF(G47=G46,"",G47))</f>
        <v/>
      </c>
      <c r="C47" s="6">
        <f>IF(H47="","",IF(H47=H46,"",H47))</f>
        <v/>
      </c>
      <c r="D47" s="5">
        <f>IF(G47="","", I47 &amp; "-FL" &amp; TEXT(J47, "00"))</f>
        <v/>
      </c>
      <c r="E47" s="12" t="n"/>
      <c r="F47" s="15">
        <f>IF(ROW()-1&gt;SUM(Buildings!$D$2:$D$101), "", INDEX(Buildings!$F$2:$F$101, IFERROR(MATCH(ROW()-1-0.0001, Buildings!$G$2:$G$101, 1), 0)+1))</f>
        <v/>
      </c>
      <c r="G47" s="14">
        <f>IF(ROW()-1&gt;SUM(Buildings!$D$2:$D$101), "", INDEX(Buildings!$B$2:$B$101, IFERROR(MATCH(ROW()-1-0.0001, Buildings!$G$2:$G$101, 1), 0)+1))</f>
        <v/>
      </c>
      <c r="H47" s="15">
        <f>IF(ROW()-1&gt;SUM(Buildings!$D$2:$D$101), "", INDEX(Buildings!$C$2:$C$101, IFERROR(MATCH(ROW()-1-0.0001, Buildings!$G$2:$G$101, 1), 0)+1))</f>
        <v/>
      </c>
      <c r="I47" s="14">
        <f>IF(G47="","",VALUE(SUBSTITUTE(G47,"BLD","")))</f>
        <v/>
      </c>
      <c r="J47" s="14">
        <f>IF(G47="","", (ROW()-1)-IFERROR(INDEX(Buildings!$G$2:$G$101, MATCH(ROW()-1-0.0001, Buildings!$G$2:$G$101, 1)), 0))</f>
        <v/>
      </c>
      <c r="K47" s="15">
        <f>IF(G47="","", CHOOSE(MIN(J47, 10), "First", "Second", "Third", "Fourth", "Fifth", "Sixth", "Seventh", "Eighth", "Ninth", "Tenth") &amp; " Floor")</f>
        <v/>
      </c>
      <c r="L47" s="13">
        <f>IF(G47="","",L46+IF(ISNUMBER(E47),E47,0))</f>
        <v/>
      </c>
    </row>
    <row r="48">
      <c r="A48" s="6">
        <f>IF(F48="","",IF(F48=F47,"",F48))</f>
        <v/>
      </c>
      <c r="B48" s="5">
        <f>IF(G48="","",IF(G48=G47,"",G48))</f>
        <v/>
      </c>
      <c r="C48" s="6">
        <f>IF(H48="","",IF(H48=H47,"",H48))</f>
        <v/>
      </c>
      <c r="D48" s="5">
        <f>IF(G48="","", I48 &amp; "-FL" &amp; TEXT(J48, "00"))</f>
        <v/>
      </c>
      <c r="E48" s="12" t="n"/>
      <c r="F48" s="15">
        <f>IF(ROW()-1&gt;SUM(Buildings!$D$2:$D$101), "", INDEX(Buildings!$F$2:$F$101, IFERROR(MATCH(ROW()-1-0.0001, Buildings!$G$2:$G$101, 1), 0)+1))</f>
        <v/>
      </c>
      <c r="G48" s="14">
        <f>IF(ROW()-1&gt;SUM(Buildings!$D$2:$D$101), "", INDEX(Buildings!$B$2:$B$101, IFERROR(MATCH(ROW()-1-0.0001, Buildings!$G$2:$G$101, 1), 0)+1))</f>
        <v/>
      </c>
      <c r="H48" s="15">
        <f>IF(ROW()-1&gt;SUM(Buildings!$D$2:$D$101), "", INDEX(Buildings!$C$2:$C$101, IFERROR(MATCH(ROW()-1-0.0001, Buildings!$G$2:$G$101, 1), 0)+1))</f>
        <v/>
      </c>
      <c r="I48" s="14">
        <f>IF(G48="","",VALUE(SUBSTITUTE(G48,"BLD","")))</f>
        <v/>
      </c>
      <c r="J48" s="14">
        <f>IF(G48="","", (ROW()-1)-IFERROR(INDEX(Buildings!$G$2:$G$101, MATCH(ROW()-1-0.0001, Buildings!$G$2:$G$101, 1)), 0))</f>
        <v/>
      </c>
      <c r="K48" s="15">
        <f>IF(G48="","", CHOOSE(MIN(J48, 10), "First", "Second", "Third", "Fourth", "Fifth", "Sixth", "Seventh", "Eighth", "Ninth", "Tenth") &amp; " Floor")</f>
        <v/>
      </c>
      <c r="L48" s="13">
        <f>IF(G48="","",L47+IF(ISNUMBER(E48),E48,0))</f>
        <v/>
      </c>
    </row>
    <row r="49">
      <c r="A49" s="6">
        <f>IF(F49="","",IF(F49=F48,"",F49))</f>
        <v/>
      </c>
      <c r="B49" s="5">
        <f>IF(G49="","",IF(G49=G48,"",G49))</f>
        <v/>
      </c>
      <c r="C49" s="6">
        <f>IF(H49="","",IF(H49=H48,"",H49))</f>
        <v/>
      </c>
      <c r="D49" s="5">
        <f>IF(G49="","", I49 &amp; "-FL" &amp; TEXT(J49, "00"))</f>
        <v/>
      </c>
      <c r="E49" s="12" t="n"/>
      <c r="F49" s="15">
        <f>IF(ROW()-1&gt;SUM(Buildings!$D$2:$D$101), "", INDEX(Buildings!$F$2:$F$101, IFERROR(MATCH(ROW()-1-0.0001, Buildings!$G$2:$G$101, 1), 0)+1))</f>
        <v/>
      </c>
      <c r="G49" s="14">
        <f>IF(ROW()-1&gt;SUM(Buildings!$D$2:$D$101), "", INDEX(Buildings!$B$2:$B$101, IFERROR(MATCH(ROW()-1-0.0001, Buildings!$G$2:$G$101, 1), 0)+1))</f>
        <v/>
      </c>
      <c r="H49" s="15">
        <f>IF(ROW()-1&gt;SUM(Buildings!$D$2:$D$101), "", INDEX(Buildings!$C$2:$C$101, IFERROR(MATCH(ROW()-1-0.0001, Buildings!$G$2:$G$101, 1), 0)+1))</f>
        <v/>
      </c>
      <c r="I49" s="14">
        <f>IF(G49="","",VALUE(SUBSTITUTE(G49,"BLD","")))</f>
        <v/>
      </c>
      <c r="J49" s="14">
        <f>IF(G49="","", (ROW()-1)-IFERROR(INDEX(Buildings!$G$2:$G$101, MATCH(ROW()-1-0.0001, Buildings!$G$2:$G$101, 1)), 0))</f>
        <v/>
      </c>
      <c r="K49" s="15">
        <f>IF(G49="","", CHOOSE(MIN(J49, 10), "First", "Second", "Third", "Fourth", "Fifth", "Sixth", "Seventh", "Eighth", "Ninth", "Tenth") &amp; " Floor")</f>
        <v/>
      </c>
      <c r="L49" s="13">
        <f>IF(G49="","",L48+IF(ISNUMBER(E49),E49,0))</f>
        <v/>
      </c>
    </row>
    <row r="50">
      <c r="A50" s="6">
        <f>IF(F50="","",IF(F50=F49,"",F50))</f>
        <v/>
      </c>
      <c r="B50" s="5">
        <f>IF(G50="","",IF(G50=G49,"",G50))</f>
        <v/>
      </c>
      <c r="C50" s="6">
        <f>IF(H50="","",IF(H50=H49,"",H50))</f>
        <v/>
      </c>
      <c r="D50" s="5">
        <f>IF(G50="","", I50 &amp; "-FL" &amp; TEXT(J50, "00"))</f>
        <v/>
      </c>
      <c r="E50" s="12" t="n"/>
      <c r="F50" s="15">
        <f>IF(ROW()-1&gt;SUM(Buildings!$D$2:$D$101), "", INDEX(Buildings!$F$2:$F$101, IFERROR(MATCH(ROW()-1-0.0001, Buildings!$G$2:$G$101, 1), 0)+1))</f>
        <v/>
      </c>
      <c r="G50" s="14">
        <f>IF(ROW()-1&gt;SUM(Buildings!$D$2:$D$101), "", INDEX(Buildings!$B$2:$B$101, IFERROR(MATCH(ROW()-1-0.0001, Buildings!$G$2:$G$101, 1), 0)+1))</f>
        <v/>
      </c>
      <c r="H50" s="15">
        <f>IF(ROW()-1&gt;SUM(Buildings!$D$2:$D$101), "", INDEX(Buildings!$C$2:$C$101, IFERROR(MATCH(ROW()-1-0.0001, Buildings!$G$2:$G$101, 1), 0)+1))</f>
        <v/>
      </c>
      <c r="I50" s="14">
        <f>IF(G50="","",VALUE(SUBSTITUTE(G50,"BLD","")))</f>
        <v/>
      </c>
      <c r="J50" s="14">
        <f>IF(G50="","", (ROW()-1)-IFERROR(INDEX(Buildings!$G$2:$G$101, MATCH(ROW()-1-0.0001, Buildings!$G$2:$G$101, 1)), 0))</f>
        <v/>
      </c>
      <c r="K50" s="15">
        <f>IF(G50="","", CHOOSE(MIN(J50, 10), "First", "Second", "Third", "Fourth", "Fifth", "Sixth", "Seventh", "Eighth", "Ninth", "Tenth") &amp; " Floor")</f>
        <v/>
      </c>
      <c r="L50" s="13">
        <f>IF(G50="","",L49+IF(ISNUMBER(E50),E50,0))</f>
        <v/>
      </c>
    </row>
    <row r="51">
      <c r="A51" s="6">
        <f>IF(F51="","",IF(F51=F50,"",F51))</f>
        <v/>
      </c>
      <c r="B51" s="5">
        <f>IF(G51="","",IF(G51=G50,"",G51))</f>
        <v/>
      </c>
      <c r="C51" s="6">
        <f>IF(H51="","",IF(H51=H50,"",H51))</f>
        <v/>
      </c>
      <c r="D51" s="5">
        <f>IF(G51="","", I51 &amp; "-FL" &amp; TEXT(J51, "00"))</f>
        <v/>
      </c>
      <c r="E51" s="12" t="n"/>
      <c r="F51" s="15">
        <f>IF(ROW()-1&gt;SUM(Buildings!$D$2:$D$101), "", INDEX(Buildings!$F$2:$F$101, IFERROR(MATCH(ROW()-1-0.0001, Buildings!$G$2:$G$101, 1), 0)+1))</f>
        <v/>
      </c>
      <c r="G51" s="14">
        <f>IF(ROW()-1&gt;SUM(Buildings!$D$2:$D$101), "", INDEX(Buildings!$B$2:$B$101, IFERROR(MATCH(ROW()-1-0.0001, Buildings!$G$2:$G$101, 1), 0)+1))</f>
        <v/>
      </c>
      <c r="H51" s="15">
        <f>IF(ROW()-1&gt;SUM(Buildings!$D$2:$D$101), "", INDEX(Buildings!$C$2:$C$101, IFERROR(MATCH(ROW()-1-0.0001, Buildings!$G$2:$G$101, 1), 0)+1))</f>
        <v/>
      </c>
      <c r="I51" s="14">
        <f>IF(G51="","",VALUE(SUBSTITUTE(G51,"BLD","")))</f>
        <v/>
      </c>
      <c r="J51" s="14">
        <f>IF(G51="","", (ROW()-1)-IFERROR(INDEX(Buildings!$G$2:$G$101, MATCH(ROW()-1-0.0001, Buildings!$G$2:$G$101, 1)), 0))</f>
        <v/>
      </c>
      <c r="K51" s="15">
        <f>IF(G51="","", CHOOSE(MIN(J51, 10), "First", "Second", "Third", "Fourth", "Fifth", "Sixth", "Seventh", "Eighth", "Ninth", "Tenth") &amp; " Floor")</f>
        <v/>
      </c>
      <c r="L51" s="13">
        <f>IF(G51="","",L50+IF(ISNUMBER(E51),E51,0))</f>
        <v/>
      </c>
    </row>
    <row r="52">
      <c r="A52" s="6">
        <f>IF(F52="","",IF(F52=F51,"",F52))</f>
        <v/>
      </c>
      <c r="B52" s="5">
        <f>IF(G52="","",IF(G52=G51,"",G52))</f>
        <v/>
      </c>
      <c r="C52" s="6">
        <f>IF(H52="","",IF(H52=H51,"",H52))</f>
        <v/>
      </c>
      <c r="D52" s="5">
        <f>IF(G52="","", I52 &amp; "-FL" &amp; TEXT(J52, "00"))</f>
        <v/>
      </c>
      <c r="E52" s="12" t="n"/>
      <c r="F52" s="15">
        <f>IF(ROW()-1&gt;SUM(Buildings!$D$2:$D$101), "", INDEX(Buildings!$F$2:$F$101, IFERROR(MATCH(ROW()-1-0.0001, Buildings!$G$2:$G$101, 1), 0)+1))</f>
        <v/>
      </c>
      <c r="G52" s="14">
        <f>IF(ROW()-1&gt;SUM(Buildings!$D$2:$D$101), "", INDEX(Buildings!$B$2:$B$101, IFERROR(MATCH(ROW()-1-0.0001, Buildings!$G$2:$G$101, 1), 0)+1))</f>
        <v/>
      </c>
      <c r="H52" s="15">
        <f>IF(ROW()-1&gt;SUM(Buildings!$D$2:$D$101), "", INDEX(Buildings!$C$2:$C$101, IFERROR(MATCH(ROW()-1-0.0001, Buildings!$G$2:$G$101, 1), 0)+1))</f>
        <v/>
      </c>
      <c r="I52" s="14">
        <f>IF(G52="","",VALUE(SUBSTITUTE(G52,"BLD","")))</f>
        <v/>
      </c>
      <c r="J52" s="14">
        <f>IF(G52="","", (ROW()-1)-IFERROR(INDEX(Buildings!$G$2:$G$101, MATCH(ROW()-1-0.0001, Buildings!$G$2:$G$101, 1)), 0))</f>
        <v/>
      </c>
      <c r="K52" s="15">
        <f>IF(G52="","", CHOOSE(MIN(J52, 10), "First", "Second", "Third", "Fourth", "Fifth", "Sixth", "Seventh", "Eighth", "Ninth", "Tenth") &amp; " Floor")</f>
        <v/>
      </c>
      <c r="L52" s="13">
        <f>IF(G52="","",L51+IF(ISNUMBER(E52),E52,0))</f>
        <v/>
      </c>
    </row>
    <row r="53">
      <c r="A53" s="6">
        <f>IF(F53="","",IF(F53=F52,"",F53))</f>
        <v/>
      </c>
      <c r="B53" s="5">
        <f>IF(G53="","",IF(G53=G52,"",G53))</f>
        <v/>
      </c>
      <c r="C53" s="6">
        <f>IF(H53="","",IF(H53=H52,"",H53))</f>
        <v/>
      </c>
      <c r="D53" s="5">
        <f>IF(G53="","", I53 &amp; "-FL" &amp; TEXT(J53, "00"))</f>
        <v/>
      </c>
      <c r="E53" s="12" t="n"/>
      <c r="F53" s="15">
        <f>IF(ROW()-1&gt;SUM(Buildings!$D$2:$D$101), "", INDEX(Buildings!$F$2:$F$101, IFERROR(MATCH(ROW()-1-0.0001, Buildings!$G$2:$G$101, 1), 0)+1))</f>
        <v/>
      </c>
      <c r="G53" s="14">
        <f>IF(ROW()-1&gt;SUM(Buildings!$D$2:$D$101), "", INDEX(Buildings!$B$2:$B$101, IFERROR(MATCH(ROW()-1-0.0001, Buildings!$G$2:$G$101, 1), 0)+1))</f>
        <v/>
      </c>
      <c r="H53" s="15">
        <f>IF(ROW()-1&gt;SUM(Buildings!$D$2:$D$101), "", INDEX(Buildings!$C$2:$C$101, IFERROR(MATCH(ROW()-1-0.0001, Buildings!$G$2:$G$101, 1), 0)+1))</f>
        <v/>
      </c>
      <c r="I53" s="14">
        <f>IF(G53="","",VALUE(SUBSTITUTE(G53,"BLD","")))</f>
        <v/>
      </c>
      <c r="J53" s="14">
        <f>IF(G53="","", (ROW()-1)-IFERROR(INDEX(Buildings!$G$2:$G$101, MATCH(ROW()-1-0.0001, Buildings!$G$2:$G$101, 1)), 0))</f>
        <v/>
      </c>
      <c r="K53" s="15">
        <f>IF(G53="","", CHOOSE(MIN(J53, 10), "First", "Second", "Third", "Fourth", "Fifth", "Sixth", "Seventh", "Eighth", "Ninth", "Tenth") &amp; " Floor")</f>
        <v/>
      </c>
      <c r="L53" s="13">
        <f>IF(G53="","",L52+IF(ISNUMBER(E53),E53,0))</f>
        <v/>
      </c>
    </row>
    <row r="54">
      <c r="A54" s="6">
        <f>IF(F54="","",IF(F54=F53,"",F54))</f>
        <v/>
      </c>
      <c r="B54" s="5">
        <f>IF(G54="","",IF(G54=G53,"",G54))</f>
        <v/>
      </c>
      <c r="C54" s="6">
        <f>IF(H54="","",IF(H54=H53,"",H54))</f>
        <v/>
      </c>
      <c r="D54" s="5">
        <f>IF(G54="","", I54 &amp; "-FL" &amp; TEXT(J54, "00"))</f>
        <v/>
      </c>
      <c r="E54" s="12" t="n"/>
      <c r="F54" s="15">
        <f>IF(ROW()-1&gt;SUM(Buildings!$D$2:$D$101), "", INDEX(Buildings!$F$2:$F$101, IFERROR(MATCH(ROW()-1-0.0001, Buildings!$G$2:$G$101, 1), 0)+1))</f>
        <v/>
      </c>
      <c r="G54" s="14">
        <f>IF(ROW()-1&gt;SUM(Buildings!$D$2:$D$101), "", INDEX(Buildings!$B$2:$B$101, IFERROR(MATCH(ROW()-1-0.0001, Buildings!$G$2:$G$101, 1), 0)+1))</f>
        <v/>
      </c>
      <c r="H54" s="15">
        <f>IF(ROW()-1&gt;SUM(Buildings!$D$2:$D$101), "", INDEX(Buildings!$C$2:$C$101, IFERROR(MATCH(ROW()-1-0.0001, Buildings!$G$2:$G$101, 1), 0)+1))</f>
        <v/>
      </c>
      <c r="I54" s="14">
        <f>IF(G54="","",VALUE(SUBSTITUTE(G54,"BLD","")))</f>
        <v/>
      </c>
      <c r="J54" s="14">
        <f>IF(G54="","", (ROW()-1)-IFERROR(INDEX(Buildings!$G$2:$G$101, MATCH(ROW()-1-0.0001, Buildings!$G$2:$G$101, 1)), 0))</f>
        <v/>
      </c>
      <c r="K54" s="15">
        <f>IF(G54="","", CHOOSE(MIN(J54, 10), "First", "Second", "Third", "Fourth", "Fifth", "Sixth", "Seventh", "Eighth", "Ninth", "Tenth") &amp; " Floor")</f>
        <v/>
      </c>
      <c r="L54" s="13">
        <f>IF(G54="","",L53+IF(ISNUMBER(E54),E54,0))</f>
        <v/>
      </c>
    </row>
    <row r="55">
      <c r="A55" s="6">
        <f>IF(F55="","",IF(F55=F54,"",F55))</f>
        <v/>
      </c>
      <c r="B55" s="5">
        <f>IF(G55="","",IF(G55=G54,"",G55))</f>
        <v/>
      </c>
      <c r="C55" s="6">
        <f>IF(H55="","",IF(H55=H54,"",H55))</f>
        <v/>
      </c>
      <c r="D55" s="5">
        <f>IF(G55="","", I55 &amp; "-FL" &amp; TEXT(J55, "00"))</f>
        <v/>
      </c>
      <c r="E55" s="12" t="n"/>
      <c r="F55" s="15">
        <f>IF(ROW()-1&gt;SUM(Buildings!$D$2:$D$101), "", INDEX(Buildings!$F$2:$F$101, IFERROR(MATCH(ROW()-1-0.0001, Buildings!$G$2:$G$101, 1), 0)+1))</f>
        <v/>
      </c>
      <c r="G55" s="14">
        <f>IF(ROW()-1&gt;SUM(Buildings!$D$2:$D$101), "", INDEX(Buildings!$B$2:$B$101, IFERROR(MATCH(ROW()-1-0.0001, Buildings!$G$2:$G$101, 1), 0)+1))</f>
        <v/>
      </c>
      <c r="H55" s="15">
        <f>IF(ROW()-1&gt;SUM(Buildings!$D$2:$D$101), "", INDEX(Buildings!$C$2:$C$101, IFERROR(MATCH(ROW()-1-0.0001, Buildings!$G$2:$G$101, 1), 0)+1))</f>
        <v/>
      </c>
      <c r="I55" s="14">
        <f>IF(G55="","",VALUE(SUBSTITUTE(G55,"BLD","")))</f>
        <v/>
      </c>
      <c r="J55" s="14">
        <f>IF(G55="","", (ROW()-1)-IFERROR(INDEX(Buildings!$G$2:$G$101, MATCH(ROW()-1-0.0001, Buildings!$G$2:$G$101, 1)), 0))</f>
        <v/>
      </c>
      <c r="K55" s="15">
        <f>IF(G55="","", CHOOSE(MIN(J55, 10), "First", "Second", "Third", "Fourth", "Fifth", "Sixth", "Seventh", "Eighth", "Ninth", "Tenth") &amp; " Floor")</f>
        <v/>
      </c>
      <c r="L55" s="13">
        <f>IF(G55="","",L54+IF(ISNUMBER(E55),E55,0))</f>
        <v/>
      </c>
    </row>
    <row r="56">
      <c r="A56" s="6">
        <f>IF(F56="","",IF(F56=F55,"",F56))</f>
        <v/>
      </c>
      <c r="B56" s="5">
        <f>IF(G56="","",IF(G56=G55,"",G56))</f>
        <v/>
      </c>
      <c r="C56" s="6">
        <f>IF(H56="","",IF(H56=H55,"",H56))</f>
        <v/>
      </c>
      <c r="D56" s="5">
        <f>IF(G56="","", I56 &amp; "-FL" &amp; TEXT(J56, "00"))</f>
        <v/>
      </c>
      <c r="E56" s="12" t="n"/>
      <c r="F56" s="15">
        <f>IF(ROW()-1&gt;SUM(Buildings!$D$2:$D$101), "", INDEX(Buildings!$F$2:$F$101, IFERROR(MATCH(ROW()-1-0.0001, Buildings!$G$2:$G$101, 1), 0)+1))</f>
        <v/>
      </c>
      <c r="G56" s="14">
        <f>IF(ROW()-1&gt;SUM(Buildings!$D$2:$D$101), "", INDEX(Buildings!$B$2:$B$101, IFERROR(MATCH(ROW()-1-0.0001, Buildings!$G$2:$G$101, 1), 0)+1))</f>
        <v/>
      </c>
      <c r="H56" s="15">
        <f>IF(ROW()-1&gt;SUM(Buildings!$D$2:$D$101), "", INDEX(Buildings!$C$2:$C$101, IFERROR(MATCH(ROW()-1-0.0001, Buildings!$G$2:$G$101, 1), 0)+1))</f>
        <v/>
      </c>
      <c r="I56" s="14">
        <f>IF(G56="","",VALUE(SUBSTITUTE(G56,"BLD","")))</f>
        <v/>
      </c>
      <c r="J56" s="14">
        <f>IF(G56="","", (ROW()-1)-IFERROR(INDEX(Buildings!$G$2:$G$101, MATCH(ROW()-1-0.0001, Buildings!$G$2:$G$101, 1)), 0))</f>
        <v/>
      </c>
      <c r="K56" s="15">
        <f>IF(G56="","", CHOOSE(MIN(J56, 10), "First", "Second", "Third", "Fourth", "Fifth", "Sixth", "Seventh", "Eighth", "Ninth", "Tenth") &amp; " Floor")</f>
        <v/>
      </c>
      <c r="L56" s="13">
        <f>IF(G56="","",L55+IF(ISNUMBER(E56),E56,0))</f>
        <v/>
      </c>
    </row>
    <row r="57">
      <c r="A57" s="6">
        <f>IF(F57="","",IF(F57=F56,"",F57))</f>
        <v/>
      </c>
      <c r="B57" s="5">
        <f>IF(G57="","",IF(G57=G56,"",G57))</f>
        <v/>
      </c>
      <c r="C57" s="6">
        <f>IF(H57="","",IF(H57=H56,"",H57))</f>
        <v/>
      </c>
      <c r="D57" s="5">
        <f>IF(G57="","", I57 &amp; "-FL" &amp; TEXT(J57, "00"))</f>
        <v/>
      </c>
      <c r="E57" s="12" t="n"/>
      <c r="F57" s="15">
        <f>IF(ROW()-1&gt;SUM(Buildings!$D$2:$D$101), "", INDEX(Buildings!$F$2:$F$101, IFERROR(MATCH(ROW()-1-0.0001, Buildings!$G$2:$G$101, 1), 0)+1))</f>
        <v/>
      </c>
      <c r="G57" s="14">
        <f>IF(ROW()-1&gt;SUM(Buildings!$D$2:$D$101), "", INDEX(Buildings!$B$2:$B$101, IFERROR(MATCH(ROW()-1-0.0001, Buildings!$G$2:$G$101, 1), 0)+1))</f>
        <v/>
      </c>
      <c r="H57" s="15">
        <f>IF(ROW()-1&gt;SUM(Buildings!$D$2:$D$101), "", INDEX(Buildings!$C$2:$C$101, IFERROR(MATCH(ROW()-1-0.0001, Buildings!$G$2:$G$101, 1), 0)+1))</f>
        <v/>
      </c>
      <c r="I57" s="14">
        <f>IF(G57="","",VALUE(SUBSTITUTE(G57,"BLD","")))</f>
        <v/>
      </c>
      <c r="J57" s="14">
        <f>IF(G57="","", (ROW()-1)-IFERROR(INDEX(Buildings!$G$2:$G$101, MATCH(ROW()-1-0.0001, Buildings!$G$2:$G$101, 1)), 0))</f>
        <v/>
      </c>
      <c r="K57" s="15">
        <f>IF(G57="","", CHOOSE(MIN(J57, 10), "First", "Second", "Third", "Fourth", "Fifth", "Sixth", "Seventh", "Eighth", "Ninth", "Tenth") &amp; " Floor")</f>
        <v/>
      </c>
      <c r="L57" s="13">
        <f>IF(G57="","",L56+IF(ISNUMBER(E57),E57,0))</f>
        <v/>
      </c>
    </row>
    <row r="58">
      <c r="A58" s="6">
        <f>IF(F58="","",IF(F58=F57,"",F58))</f>
        <v/>
      </c>
      <c r="B58" s="5">
        <f>IF(G58="","",IF(G58=G57,"",G58))</f>
        <v/>
      </c>
      <c r="C58" s="6">
        <f>IF(H58="","",IF(H58=H57,"",H58))</f>
        <v/>
      </c>
      <c r="D58" s="5">
        <f>IF(G58="","", I58 &amp; "-FL" &amp; TEXT(J58, "00"))</f>
        <v/>
      </c>
      <c r="E58" s="12" t="n"/>
      <c r="F58" s="15">
        <f>IF(ROW()-1&gt;SUM(Buildings!$D$2:$D$101), "", INDEX(Buildings!$F$2:$F$101, IFERROR(MATCH(ROW()-1-0.0001, Buildings!$G$2:$G$101, 1), 0)+1))</f>
        <v/>
      </c>
      <c r="G58" s="14">
        <f>IF(ROW()-1&gt;SUM(Buildings!$D$2:$D$101), "", INDEX(Buildings!$B$2:$B$101, IFERROR(MATCH(ROW()-1-0.0001, Buildings!$G$2:$G$101, 1), 0)+1))</f>
        <v/>
      </c>
      <c r="H58" s="15">
        <f>IF(ROW()-1&gt;SUM(Buildings!$D$2:$D$101), "", INDEX(Buildings!$C$2:$C$101, IFERROR(MATCH(ROW()-1-0.0001, Buildings!$G$2:$G$101, 1), 0)+1))</f>
        <v/>
      </c>
      <c r="I58" s="14">
        <f>IF(G58="","",VALUE(SUBSTITUTE(G58,"BLD","")))</f>
        <v/>
      </c>
      <c r="J58" s="14">
        <f>IF(G58="","", (ROW()-1)-IFERROR(INDEX(Buildings!$G$2:$G$101, MATCH(ROW()-1-0.0001, Buildings!$G$2:$G$101, 1)), 0))</f>
        <v/>
      </c>
      <c r="K58" s="15">
        <f>IF(G58="","", CHOOSE(MIN(J58, 10), "First", "Second", "Third", "Fourth", "Fifth", "Sixth", "Seventh", "Eighth", "Ninth", "Tenth") &amp; " Floor")</f>
        <v/>
      </c>
      <c r="L58" s="13">
        <f>IF(G58="","",L57+IF(ISNUMBER(E58),E58,0))</f>
        <v/>
      </c>
    </row>
    <row r="59">
      <c r="A59" s="6">
        <f>IF(F59="","",IF(F59=F58,"",F59))</f>
        <v/>
      </c>
      <c r="B59" s="5">
        <f>IF(G59="","",IF(G59=G58,"",G59))</f>
        <v/>
      </c>
      <c r="C59" s="6">
        <f>IF(H59="","",IF(H59=H58,"",H59))</f>
        <v/>
      </c>
      <c r="D59" s="5">
        <f>IF(G59="","", I59 &amp; "-FL" &amp; TEXT(J59, "00"))</f>
        <v/>
      </c>
      <c r="E59" s="12" t="n"/>
      <c r="F59" s="15">
        <f>IF(ROW()-1&gt;SUM(Buildings!$D$2:$D$101), "", INDEX(Buildings!$F$2:$F$101, IFERROR(MATCH(ROW()-1-0.0001, Buildings!$G$2:$G$101, 1), 0)+1))</f>
        <v/>
      </c>
      <c r="G59" s="14">
        <f>IF(ROW()-1&gt;SUM(Buildings!$D$2:$D$101), "", INDEX(Buildings!$B$2:$B$101, IFERROR(MATCH(ROW()-1-0.0001, Buildings!$G$2:$G$101, 1), 0)+1))</f>
        <v/>
      </c>
      <c r="H59" s="15">
        <f>IF(ROW()-1&gt;SUM(Buildings!$D$2:$D$101), "", INDEX(Buildings!$C$2:$C$101, IFERROR(MATCH(ROW()-1-0.0001, Buildings!$G$2:$G$101, 1), 0)+1))</f>
        <v/>
      </c>
      <c r="I59" s="14">
        <f>IF(G59="","",VALUE(SUBSTITUTE(G59,"BLD","")))</f>
        <v/>
      </c>
      <c r="J59" s="14">
        <f>IF(G59="","", (ROW()-1)-IFERROR(INDEX(Buildings!$G$2:$G$101, MATCH(ROW()-1-0.0001, Buildings!$G$2:$G$101, 1)), 0))</f>
        <v/>
      </c>
      <c r="K59" s="15">
        <f>IF(G59="","", CHOOSE(MIN(J59, 10), "First", "Second", "Third", "Fourth", "Fifth", "Sixth", "Seventh", "Eighth", "Ninth", "Tenth") &amp; " Floor")</f>
        <v/>
      </c>
      <c r="L59" s="13">
        <f>IF(G59="","",L58+IF(ISNUMBER(E59),E59,0))</f>
        <v/>
      </c>
    </row>
    <row r="60">
      <c r="A60" s="6">
        <f>IF(F60="","",IF(F60=F59,"",F60))</f>
        <v/>
      </c>
      <c r="B60" s="5">
        <f>IF(G60="","",IF(G60=G59,"",G60))</f>
        <v/>
      </c>
      <c r="C60" s="6">
        <f>IF(H60="","",IF(H60=H59,"",H60))</f>
        <v/>
      </c>
      <c r="D60" s="5">
        <f>IF(G60="","", I60 &amp; "-FL" &amp; TEXT(J60, "00"))</f>
        <v/>
      </c>
      <c r="E60" s="12" t="n"/>
      <c r="F60" s="15">
        <f>IF(ROW()-1&gt;SUM(Buildings!$D$2:$D$101), "", INDEX(Buildings!$F$2:$F$101, IFERROR(MATCH(ROW()-1-0.0001, Buildings!$G$2:$G$101, 1), 0)+1))</f>
        <v/>
      </c>
      <c r="G60" s="14">
        <f>IF(ROW()-1&gt;SUM(Buildings!$D$2:$D$101), "", INDEX(Buildings!$B$2:$B$101, IFERROR(MATCH(ROW()-1-0.0001, Buildings!$G$2:$G$101, 1), 0)+1))</f>
        <v/>
      </c>
      <c r="H60" s="15">
        <f>IF(ROW()-1&gt;SUM(Buildings!$D$2:$D$101), "", INDEX(Buildings!$C$2:$C$101, IFERROR(MATCH(ROW()-1-0.0001, Buildings!$G$2:$G$101, 1), 0)+1))</f>
        <v/>
      </c>
      <c r="I60" s="14">
        <f>IF(G60="","",VALUE(SUBSTITUTE(G60,"BLD","")))</f>
        <v/>
      </c>
      <c r="J60" s="14">
        <f>IF(G60="","", (ROW()-1)-IFERROR(INDEX(Buildings!$G$2:$G$101, MATCH(ROW()-1-0.0001, Buildings!$G$2:$G$101, 1)), 0))</f>
        <v/>
      </c>
      <c r="K60" s="15">
        <f>IF(G60="","", CHOOSE(MIN(J60, 10), "First", "Second", "Third", "Fourth", "Fifth", "Sixth", "Seventh", "Eighth", "Ninth", "Tenth") &amp; " Floor")</f>
        <v/>
      </c>
      <c r="L60" s="13">
        <f>IF(G60="","",L59+IF(ISNUMBER(E60),E60,0))</f>
        <v/>
      </c>
    </row>
    <row r="61">
      <c r="A61" s="6">
        <f>IF(F61="","",IF(F61=F60,"",F61))</f>
        <v/>
      </c>
      <c r="B61" s="5">
        <f>IF(G61="","",IF(G61=G60,"",G61))</f>
        <v/>
      </c>
      <c r="C61" s="6">
        <f>IF(H61="","",IF(H61=H60,"",H61))</f>
        <v/>
      </c>
      <c r="D61" s="5">
        <f>IF(G61="","", I61 &amp; "-FL" &amp; TEXT(J61, "00"))</f>
        <v/>
      </c>
      <c r="E61" s="12" t="n"/>
      <c r="F61" s="15">
        <f>IF(ROW()-1&gt;SUM(Buildings!$D$2:$D$101), "", INDEX(Buildings!$F$2:$F$101, IFERROR(MATCH(ROW()-1-0.0001, Buildings!$G$2:$G$101, 1), 0)+1))</f>
        <v/>
      </c>
      <c r="G61" s="14">
        <f>IF(ROW()-1&gt;SUM(Buildings!$D$2:$D$101), "", INDEX(Buildings!$B$2:$B$101, IFERROR(MATCH(ROW()-1-0.0001, Buildings!$G$2:$G$101, 1), 0)+1))</f>
        <v/>
      </c>
      <c r="H61" s="15">
        <f>IF(ROW()-1&gt;SUM(Buildings!$D$2:$D$101), "", INDEX(Buildings!$C$2:$C$101, IFERROR(MATCH(ROW()-1-0.0001, Buildings!$G$2:$G$101, 1), 0)+1))</f>
        <v/>
      </c>
      <c r="I61" s="14">
        <f>IF(G61="","",VALUE(SUBSTITUTE(G61,"BLD","")))</f>
        <v/>
      </c>
      <c r="J61" s="14">
        <f>IF(G61="","", (ROW()-1)-IFERROR(INDEX(Buildings!$G$2:$G$101, MATCH(ROW()-1-0.0001, Buildings!$G$2:$G$101, 1)), 0))</f>
        <v/>
      </c>
      <c r="K61" s="15">
        <f>IF(G61="","", CHOOSE(MIN(J61, 10), "First", "Second", "Third", "Fourth", "Fifth", "Sixth", "Seventh", "Eighth", "Ninth", "Tenth") &amp; " Floor")</f>
        <v/>
      </c>
      <c r="L61" s="13">
        <f>IF(G61="","",L60+IF(ISNUMBER(E61),E61,0))</f>
        <v/>
      </c>
    </row>
    <row r="62">
      <c r="A62" s="6">
        <f>IF(F62="","",IF(F62=F61,"",F62))</f>
        <v/>
      </c>
      <c r="B62" s="5">
        <f>IF(G62="","",IF(G62=G61,"",G62))</f>
        <v/>
      </c>
      <c r="C62" s="6">
        <f>IF(H62="","",IF(H62=H61,"",H62))</f>
        <v/>
      </c>
      <c r="D62" s="5">
        <f>IF(G62="","", I62 &amp; "-FL" &amp; TEXT(J62, "00"))</f>
        <v/>
      </c>
      <c r="E62" s="12" t="n"/>
      <c r="F62" s="15">
        <f>IF(ROW()-1&gt;SUM(Buildings!$D$2:$D$101), "", INDEX(Buildings!$F$2:$F$101, IFERROR(MATCH(ROW()-1-0.0001, Buildings!$G$2:$G$101, 1), 0)+1))</f>
        <v/>
      </c>
      <c r="G62" s="14">
        <f>IF(ROW()-1&gt;SUM(Buildings!$D$2:$D$101), "", INDEX(Buildings!$B$2:$B$101, IFERROR(MATCH(ROW()-1-0.0001, Buildings!$G$2:$G$101, 1), 0)+1))</f>
        <v/>
      </c>
      <c r="H62" s="15">
        <f>IF(ROW()-1&gt;SUM(Buildings!$D$2:$D$101), "", INDEX(Buildings!$C$2:$C$101, IFERROR(MATCH(ROW()-1-0.0001, Buildings!$G$2:$G$101, 1), 0)+1))</f>
        <v/>
      </c>
      <c r="I62" s="14">
        <f>IF(G62="","",VALUE(SUBSTITUTE(G62,"BLD","")))</f>
        <v/>
      </c>
      <c r="J62" s="14">
        <f>IF(G62="","", (ROW()-1)-IFERROR(INDEX(Buildings!$G$2:$G$101, MATCH(ROW()-1-0.0001, Buildings!$G$2:$G$101, 1)), 0))</f>
        <v/>
      </c>
      <c r="K62" s="15">
        <f>IF(G62="","", CHOOSE(MIN(J62, 10), "First", "Second", "Third", "Fourth", "Fifth", "Sixth", "Seventh", "Eighth", "Ninth", "Tenth") &amp; " Floor")</f>
        <v/>
      </c>
      <c r="L62" s="13">
        <f>IF(G62="","",L61+IF(ISNUMBER(E62),E62,0))</f>
        <v/>
      </c>
    </row>
    <row r="63">
      <c r="A63" s="6">
        <f>IF(F63="","",IF(F63=F62,"",F63))</f>
        <v/>
      </c>
      <c r="B63" s="5">
        <f>IF(G63="","",IF(G63=G62,"",G63))</f>
        <v/>
      </c>
      <c r="C63" s="6">
        <f>IF(H63="","",IF(H63=H62,"",H63))</f>
        <v/>
      </c>
      <c r="D63" s="5">
        <f>IF(G63="","", I63 &amp; "-FL" &amp; TEXT(J63, "00"))</f>
        <v/>
      </c>
      <c r="E63" s="12" t="n"/>
      <c r="F63" s="15">
        <f>IF(ROW()-1&gt;SUM(Buildings!$D$2:$D$101), "", INDEX(Buildings!$F$2:$F$101, IFERROR(MATCH(ROW()-1-0.0001, Buildings!$G$2:$G$101, 1), 0)+1))</f>
        <v/>
      </c>
      <c r="G63" s="14">
        <f>IF(ROW()-1&gt;SUM(Buildings!$D$2:$D$101), "", INDEX(Buildings!$B$2:$B$101, IFERROR(MATCH(ROW()-1-0.0001, Buildings!$G$2:$G$101, 1), 0)+1))</f>
        <v/>
      </c>
      <c r="H63" s="15">
        <f>IF(ROW()-1&gt;SUM(Buildings!$D$2:$D$101), "", INDEX(Buildings!$C$2:$C$101, IFERROR(MATCH(ROW()-1-0.0001, Buildings!$G$2:$G$101, 1), 0)+1))</f>
        <v/>
      </c>
      <c r="I63" s="14">
        <f>IF(G63="","",VALUE(SUBSTITUTE(G63,"BLD","")))</f>
        <v/>
      </c>
      <c r="J63" s="14">
        <f>IF(G63="","", (ROW()-1)-IFERROR(INDEX(Buildings!$G$2:$G$101, MATCH(ROW()-1-0.0001, Buildings!$G$2:$G$101, 1)), 0))</f>
        <v/>
      </c>
      <c r="K63" s="15">
        <f>IF(G63="","", CHOOSE(MIN(J63, 10), "First", "Second", "Third", "Fourth", "Fifth", "Sixth", "Seventh", "Eighth", "Ninth", "Tenth") &amp; " Floor")</f>
        <v/>
      </c>
      <c r="L63" s="13">
        <f>IF(G63="","",L62+IF(ISNUMBER(E63),E63,0))</f>
        <v/>
      </c>
    </row>
    <row r="64">
      <c r="A64" s="6">
        <f>IF(F64="","",IF(F64=F63,"",F64))</f>
        <v/>
      </c>
      <c r="B64" s="5">
        <f>IF(G64="","",IF(G64=G63,"",G64))</f>
        <v/>
      </c>
      <c r="C64" s="6">
        <f>IF(H64="","",IF(H64=H63,"",H64))</f>
        <v/>
      </c>
      <c r="D64" s="5">
        <f>IF(G64="","", I64 &amp; "-FL" &amp; TEXT(J64, "00"))</f>
        <v/>
      </c>
      <c r="E64" s="12" t="n"/>
      <c r="F64" s="15">
        <f>IF(ROW()-1&gt;SUM(Buildings!$D$2:$D$101), "", INDEX(Buildings!$F$2:$F$101, IFERROR(MATCH(ROW()-1-0.0001, Buildings!$G$2:$G$101, 1), 0)+1))</f>
        <v/>
      </c>
      <c r="G64" s="14">
        <f>IF(ROW()-1&gt;SUM(Buildings!$D$2:$D$101), "", INDEX(Buildings!$B$2:$B$101, IFERROR(MATCH(ROW()-1-0.0001, Buildings!$G$2:$G$101, 1), 0)+1))</f>
        <v/>
      </c>
      <c r="H64" s="15">
        <f>IF(ROW()-1&gt;SUM(Buildings!$D$2:$D$101), "", INDEX(Buildings!$C$2:$C$101, IFERROR(MATCH(ROW()-1-0.0001, Buildings!$G$2:$G$101, 1), 0)+1))</f>
        <v/>
      </c>
      <c r="I64" s="14">
        <f>IF(G64="","",VALUE(SUBSTITUTE(G64,"BLD","")))</f>
        <v/>
      </c>
      <c r="J64" s="14">
        <f>IF(G64="","", (ROW()-1)-IFERROR(INDEX(Buildings!$G$2:$G$101, MATCH(ROW()-1-0.0001, Buildings!$G$2:$G$101, 1)), 0))</f>
        <v/>
      </c>
      <c r="K64" s="15">
        <f>IF(G64="","", CHOOSE(MIN(J64, 10), "First", "Second", "Third", "Fourth", "Fifth", "Sixth", "Seventh", "Eighth", "Ninth", "Tenth") &amp; " Floor")</f>
        <v/>
      </c>
      <c r="L64" s="13">
        <f>IF(G64="","",L63+IF(ISNUMBER(E64),E64,0))</f>
        <v/>
      </c>
    </row>
    <row r="65">
      <c r="A65" s="6">
        <f>IF(F65="","",IF(F65=F64,"",F65))</f>
        <v/>
      </c>
      <c r="B65" s="5">
        <f>IF(G65="","",IF(G65=G64,"",G65))</f>
        <v/>
      </c>
      <c r="C65" s="6">
        <f>IF(H65="","",IF(H65=H64,"",H65))</f>
        <v/>
      </c>
      <c r="D65" s="5">
        <f>IF(G65="","", I65 &amp; "-FL" &amp; TEXT(J65, "00"))</f>
        <v/>
      </c>
      <c r="E65" s="12" t="n"/>
      <c r="F65" s="15">
        <f>IF(ROW()-1&gt;SUM(Buildings!$D$2:$D$101), "", INDEX(Buildings!$F$2:$F$101, IFERROR(MATCH(ROW()-1-0.0001, Buildings!$G$2:$G$101, 1), 0)+1))</f>
        <v/>
      </c>
      <c r="G65" s="14">
        <f>IF(ROW()-1&gt;SUM(Buildings!$D$2:$D$101), "", INDEX(Buildings!$B$2:$B$101, IFERROR(MATCH(ROW()-1-0.0001, Buildings!$G$2:$G$101, 1), 0)+1))</f>
        <v/>
      </c>
      <c r="H65" s="15">
        <f>IF(ROW()-1&gt;SUM(Buildings!$D$2:$D$101), "", INDEX(Buildings!$C$2:$C$101, IFERROR(MATCH(ROW()-1-0.0001, Buildings!$G$2:$G$101, 1), 0)+1))</f>
        <v/>
      </c>
      <c r="I65" s="14">
        <f>IF(G65="","",VALUE(SUBSTITUTE(G65,"BLD","")))</f>
        <v/>
      </c>
      <c r="J65" s="14">
        <f>IF(G65="","", (ROW()-1)-IFERROR(INDEX(Buildings!$G$2:$G$101, MATCH(ROW()-1-0.0001, Buildings!$G$2:$G$101, 1)), 0))</f>
        <v/>
      </c>
      <c r="K65" s="15">
        <f>IF(G65="","", CHOOSE(MIN(J65, 10), "First", "Second", "Third", "Fourth", "Fifth", "Sixth", "Seventh", "Eighth", "Ninth", "Tenth") &amp; " Floor")</f>
        <v/>
      </c>
      <c r="L65" s="13">
        <f>IF(G65="","",L64+IF(ISNUMBER(E65),E65,0))</f>
        <v/>
      </c>
    </row>
    <row r="66">
      <c r="A66" s="6">
        <f>IF(F66="","",IF(F66=F65,"",F66))</f>
        <v/>
      </c>
      <c r="B66" s="5">
        <f>IF(G66="","",IF(G66=G65,"",G66))</f>
        <v/>
      </c>
      <c r="C66" s="6">
        <f>IF(H66="","",IF(H66=H65,"",H66))</f>
        <v/>
      </c>
      <c r="D66" s="5">
        <f>IF(G66="","", I66 &amp; "-FL" &amp; TEXT(J66, "00"))</f>
        <v/>
      </c>
      <c r="E66" s="12" t="n"/>
      <c r="F66" s="15">
        <f>IF(ROW()-1&gt;SUM(Buildings!$D$2:$D$101), "", INDEX(Buildings!$F$2:$F$101, IFERROR(MATCH(ROW()-1-0.0001, Buildings!$G$2:$G$101, 1), 0)+1))</f>
        <v/>
      </c>
      <c r="G66" s="14">
        <f>IF(ROW()-1&gt;SUM(Buildings!$D$2:$D$101), "", INDEX(Buildings!$B$2:$B$101, IFERROR(MATCH(ROW()-1-0.0001, Buildings!$G$2:$G$101, 1), 0)+1))</f>
        <v/>
      </c>
      <c r="H66" s="15">
        <f>IF(ROW()-1&gt;SUM(Buildings!$D$2:$D$101), "", INDEX(Buildings!$C$2:$C$101, IFERROR(MATCH(ROW()-1-0.0001, Buildings!$G$2:$G$101, 1), 0)+1))</f>
        <v/>
      </c>
      <c r="I66" s="14">
        <f>IF(G66="","",VALUE(SUBSTITUTE(G66,"BLD","")))</f>
        <v/>
      </c>
      <c r="J66" s="14">
        <f>IF(G66="","", (ROW()-1)-IFERROR(INDEX(Buildings!$G$2:$G$101, MATCH(ROW()-1-0.0001, Buildings!$G$2:$G$101, 1)), 0))</f>
        <v/>
      </c>
      <c r="K66" s="15">
        <f>IF(G66="","", CHOOSE(MIN(J66, 10), "First", "Second", "Third", "Fourth", "Fifth", "Sixth", "Seventh", "Eighth", "Ninth", "Tenth") &amp; " Floor")</f>
        <v/>
      </c>
      <c r="L66" s="13">
        <f>IF(G66="","",L65+IF(ISNUMBER(E66),E66,0))</f>
        <v/>
      </c>
    </row>
    <row r="67">
      <c r="A67" s="6">
        <f>IF(F67="","",IF(F67=F66,"",F67))</f>
        <v/>
      </c>
      <c r="B67" s="5">
        <f>IF(G67="","",IF(G67=G66,"",G67))</f>
        <v/>
      </c>
      <c r="C67" s="6">
        <f>IF(H67="","",IF(H67=H66,"",H67))</f>
        <v/>
      </c>
      <c r="D67" s="5">
        <f>IF(G67="","", I67 &amp; "-FL" &amp; TEXT(J67, "00"))</f>
        <v/>
      </c>
      <c r="E67" s="12" t="n"/>
      <c r="F67" s="15">
        <f>IF(ROW()-1&gt;SUM(Buildings!$D$2:$D$101), "", INDEX(Buildings!$F$2:$F$101, IFERROR(MATCH(ROW()-1-0.0001, Buildings!$G$2:$G$101, 1), 0)+1))</f>
        <v/>
      </c>
      <c r="G67" s="14">
        <f>IF(ROW()-1&gt;SUM(Buildings!$D$2:$D$101), "", INDEX(Buildings!$B$2:$B$101, IFERROR(MATCH(ROW()-1-0.0001, Buildings!$G$2:$G$101, 1), 0)+1))</f>
        <v/>
      </c>
      <c r="H67" s="15">
        <f>IF(ROW()-1&gt;SUM(Buildings!$D$2:$D$101), "", INDEX(Buildings!$C$2:$C$101, IFERROR(MATCH(ROW()-1-0.0001, Buildings!$G$2:$G$101, 1), 0)+1))</f>
        <v/>
      </c>
      <c r="I67" s="14">
        <f>IF(G67="","",VALUE(SUBSTITUTE(G67,"BLD","")))</f>
        <v/>
      </c>
      <c r="J67" s="14">
        <f>IF(G67="","", (ROW()-1)-IFERROR(INDEX(Buildings!$G$2:$G$101, MATCH(ROW()-1-0.0001, Buildings!$G$2:$G$101, 1)), 0))</f>
        <v/>
      </c>
      <c r="K67" s="15">
        <f>IF(G67="","", CHOOSE(MIN(J67, 10), "First", "Second", "Third", "Fourth", "Fifth", "Sixth", "Seventh", "Eighth", "Ninth", "Tenth") &amp; " Floor")</f>
        <v/>
      </c>
      <c r="L67" s="13">
        <f>IF(G67="","",L66+IF(ISNUMBER(E67),E67,0))</f>
        <v/>
      </c>
    </row>
    <row r="68">
      <c r="A68" s="6">
        <f>IF(F68="","",IF(F68=F67,"",F68))</f>
        <v/>
      </c>
      <c r="B68" s="5">
        <f>IF(G68="","",IF(G68=G67,"",G68))</f>
        <v/>
      </c>
      <c r="C68" s="6">
        <f>IF(H68="","",IF(H68=H67,"",H68))</f>
        <v/>
      </c>
      <c r="D68" s="5">
        <f>IF(G68="","", I68 &amp; "-FL" &amp; TEXT(J68, "00"))</f>
        <v/>
      </c>
      <c r="E68" s="12" t="n"/>
      <c r="F68" s="15">
        <f>IF(ROW()-1&gt;SUM(Buildings!$D$2:$D$101), "", INDEX(Buildings!$F$2:$F$101, IFERROR(MATCH(ROW()-1-0.0001, Buildings!$G$2:$G$101, 1), 0)+1))</f>
        <v/>
      </c>
      <c r="G68" s="14">
        <f>IF(ROW()-1&gt;SUM(Buildings!$D$2:$D$101), "", INDEX(Buildings!$B$2:$B$101, IFERROR(MATCH(ROW()-1-0.0001, Buildings!$G$2:$G$101, 1), 0)+1))</f>
        <v/>
      </c>
      <c r="H68" s="15">
        <f>IF(ROW()-1&gt;SUM(Buildings!$D$2:$D$101), "", INDEX(Buildings!$C$2:$C$101, IFERROR(MATCH(ROW()-1-0.0001, Buildings!$G$2:$G$101, 1), 0)+1))</f>
        <v/>
      </c>
      <c r="I68" s="14">
        <f>IF(G68="","",VALUE(SUBSTITUTE(G68,"BLD","")))</f>
        <v/>
      </c>
      <c r="J68" s="14">
        <f>IF(G68="","", (ROW()-1)-IFERROR(INDEX(Buildings!$G$2:$G$101, MATCH(ROW()-1-0.0001, Buildings!$G$2:$G$101, 1)), 0))</f>
        <v/>
      </c>
      <c r="K68" s="15">
        <f>IF(G68="","", CHOOSE(MIN(J68, 10), "First", "Second", "Third", "Fourth", "Fifth", "Sixth", "Seventh", "Eighth", "Ninth", "Tenth") &amp; " Floor")</f>
        <v/>
      </c>
      <c r="L68" s="13">
        <f>IF(G68="","",L67+IF(ISNUMBER(E68),E68,0))</f>
        <v/>
      </c>
    </row>
    <row r="69">
      <c r="A69" s="6">
        <f>IF(F69="","",IF(F69=F68,"",F69))</f>
        <v/>
      </c>
      <c r="B69" s="5">
        <f>IF(G69="","",IF(G69=G68,"",G69))</f>
        <v/>
      </c>
      <c r="C69" s="6">
        <f>IF(H69="","",IF(H69=H68,"",H69))</f>
        <v/>
      </c>
      <c r="D69" s="5">
        <f>IF(G69="","", I69 &amp; "-FL" &amp; TEXT(J69, "00"))</f>
        <v/>
      </c>
      <c r="E69" s="12" t="n"/>
      <c r="F69" s="15">
        <f>IF(ROW()-1&gt;SUM(Buildings!$D$2:$D$101), "", INDEX(Buildings!$F$2:$F$101, IFERROR(MATCH(ROW()-1-0.0001, Buildings!$G$2:$G$101, 1), 0)+1))</f>
        <v/>
      </c>
      <c r="G69" s="14">
        <f>IF(ROW()-1&gt;SUM(Buildings!$D$2:$D$101), "", INDEX(Buildings!$B$2:$B$101, IFERROR(MATCH(ROW()-1-0.0001, Buildings!$G$2:$G$101, 1), 0)+1))</f>
        <v/>
      </c>
      <c r="H69" s="15">
        <f>IF(ROW()-1&gt;SUM(Buildings!$D$2:$D$101), "", INDEX(Buildings!$C$2:$C$101, IFERROR(MATCH(ROW()-1-0.0001, Buildings!$G$2:$G$101, 1), 0)+1))</f>
        <v/>
      </c>
      <c r="I69" s="14">
        <f>IF(G69="","",VALUE(SUBSTITUTE(G69,"BLD","")))</f>
        <v/>
      </c>
      <c r="J69" s="14">
        <f>IF(G69="","", (ROW()-1)-IFERROR(INDEX(Buildings!$G$2:$G$101, MATCH(ROW()-1-0.0001, Buildings!$G$2:$G$101, 1)), 0))</f>
        <v/>
      </c>
      <c r="K69" s="15">
        <f>IF(G69="","", CHOOSE(MIN(J69, 10), "First", "Second", "Third", "Fourth", "Fifth", "Sixth", "Seventh", "Eighth", "Ninth", "Tenth") &amp; " Floor")</f>
        <v/>
      </c>
      <c r="L69" s="13">
        <f>IF(G69="","",L68+IF(ISNUMBER(E69),E69,0))</f>
        <v/>
      </c>
    </row>
    <row r="70">
      <c r="A70" s="6">
        <f>IF(F70="","",IF(F70=F69,"",F70))</f>
        <v/>
      </c>
      <c r="B70" s="5">
        <f>IF(G70="","",IF(G70=G69,"",G70))</f>
        <v/>
      </c>
      <c r="C70" s="6">
        <f>IF(H70="","",IF(H70=H69,"",H70))</f>
        <v/>
      </c>
      <c r="D70" s="5">
        <f>IF(G70="","", I70 &amp; "-FL" &amp; TEXT(J70, "00"))</f>
        <v/>
      </c>
      <c r="E70" s="12" t="n"/>
      <c r="F70" s="15">
        <f>IF(ROW()-1&gt;SUM(Buildings!$D$2:$D$101), "", INDEX(Buildings!$F$2:$F$101, IFERROR(MATCH(ROW()-1-0.0001, Buildings!$G$2:$G$101, 1), 0)+1))</f>
        <v/>
      </c>
      <c r="G70" s="14">
        <f>IF(ROW()-1&gt;SUM(Buildings!$D$2:$D$101), "", INDEX(Buildings!$B$2:$B$101, IFERROR(MATCH(ROW()-1-0.0001, Buildings!$G$2:$G$101, 1), 0)+1))</f>
        <v/>
      </c>
      <c r="H70" s="15">
        <f>IF(ROW()-1&gt;SUM(Buildings!$D$2:$D$101), "", INDEX(Buildings!$C$2:$C$101, IFERROR(MATCH(ROW()-1-0.0001, Buildings!$G$2:$G$101, 1), 0)+1))</f>
        <v/>
      </c>
      <c r="I70" s="14">
        <f>IF(G70="","",VALUE(SUBSTITUTE(G70,"BLD","")))</f>
        <v/>
      </c>
      <c r="J70" s="14">
        <f>IF(G70="","", (ROW()-1)-IFERROR(INDEX(Buildings!$G$2:$G$101, MATCH(ROW()-1-0.0001, Buildings!$G$2:$G$101, 1)), 0))</f>
        <v/>
      </c>
      <c r="K70" s="15">
        <f>IF(G70="","", CHOOSE(MIN(J70, 10), "First", "Second", "Third", "Fourth", "Fifth", "Sixth", "Seventh", "Eighth", "Ninth", "Tenth") &amp; " Floor")</f>
        <v/>
      </c>
      <c r="L70" s="13">
        <f>IF(G70="","",L69+IF(ISNUMBER(E70),E70,0))</f>
        <v/>
      </c>
    </row>
    <row r="71">
      <c r="A71" s="6">
        <f>IF(F71="","",IF(F71=F70,"",F71))</f>
        <v/>
      </c>
      <c r="B71" s="5">
        <f>IF(G71="","",IF(G71=G70,"",G71))</f>
        <v/>
      </c>
      <c r="C71" s="6">
        <f>IF(H71="","",IF(H71=H70,"",H71))</f>
        <v/>
      </c>
      <c r="D71" s="5">
        <f>IF(G71="","", I71 &amp; "-FL" &amp; TEXT(J71, "00"))</f>
        <v/>
      </c>
      <c r="E71" s="12" t="n"/>
      <c r="F71" s="15">
        <f>IF(ROW()-1&gt;SUM(Buildings!$D$2:$D$101), "", INDEX(Buildings!$F$2:$F$101, IFERROR(MATCH(ROW()-1-0.0001, Buildings!$G$2:$G$101, 1), 0)+1))</f>
        <v/>
      </c>
      <c r="G71" s="14">
        <f>IF(ROW()-1&gt;SUM(Buildings!$D$2:$D$101), "", INDEX(Buildings!$B$2:$B$101, IFERROR(MATCH(ROW()-1-0.0001, Buildings!$G$2:$G$101, 1), 0)+1))</f>
        <v/>
      </c>
      <c r="H71" s="15">
        <f>IF(ROW()-1&gt;SUM(Buildings!$D$2:$D$101), "", INDEX(Buildings!$C$2:$C$101, IFERROR(MATCH(ROW()-1-0.0001, Buildings!$G$2:$G$101, 1), 0)+1))</f>
        <v/>
      </c>
      <c r="I71" s="14">
        <f>IF(G71="","",VALUE(SUBSTITUTE(G71,"BLD","")))</f>
        <v/>
      </c>
      <c r="J71" s="14">
        <f>IF(G71="","", (ROW()-1)-IFERROR(INDEX(Buildings!$G$2:$G$101, MATCH(ROW()-1-0.0001, Buildings!$G$2:$G$101, 1)), 0))</f>
        <v/>
      </c>
      <c r="K71" s="15">
        <f>IF(G71="","", CHOOSE(MIN(J71, 10), "First", "Second", "Third", "Fourth", "Fifth", "Sixth", "Seventh", "Eighth", "Ninth", "Tenth") &amp; " Floor")</f>
        <v/>
      </c>
      <c r="L71" s="13">
        <f>IF(G71="","",L70+IF(ISNUMBER(E71),E71,0))</f>
        <v/>
      </c>
    </row>
    <row r="72">
      <c r="A72" s="6">
        <f>IF(F72="","",IF(F72=F71,"",F72))</f>
        <v/>
      </c>
      <c r="B72" s="5">
        <f>IF(G72="","",IF(G72=G71,"",G72))</f>
        <v/>
      </c>
      <c r="C72" s="6">
        <f>IF(H72="","",IF(H72=H71,"",H72))</f>
        <v/>
      </c>
      <c r="D72" s="5">
        <f>IF(G72="","", I72 &amp; "-FL" &amp; TEXT(J72, "00"))</f>
        <v/>
      </c>
      <c r="E72" s="12" t="n"/>
      <c r="F72" s="15">
        <f>IF(ROW()-1&gt;SUM(Buildings!$D$2:$D$101), "", INDEX(Buildings!$F$2:$F$101, IFERROR(MATCH(ROW()-1-0.0001, Buildings!$G$2:$G$101, 1), 0)+1))</f>
        <v/>
      </c>
      <c r="G72" s="14">
        <f>IF(ROW()-1&gt;SUM(Buildings!$D$2:$D$101), "", INDEX(Buildings!$B$2:$B$101, IFERROR(MATCH(ROW()-1-0.0001, Buildings!$G$2:$G$101, 1), 0)+1))</f>
        <v/>
      </c>
      <c r="H72" s="15">
        <f>IF(ROW()-1&gt;SUM(Buildings!$D$2:$D$101), "", INDEX(Buildings!$C$2:$C$101, IFERROR(MATCH(ROW()-1-0.0001, Buildings!$G$2:$G$101, 1), 0)+1))</f>
        <v/>
      </c>
      <c r="I72" s="14">
        <f>IF(G72="","",VALUE(SUBSTITUTE(G72,"BLD","")))</f>
        <v/>
      </c>
      <c r="J72" s="14">
        <f>IF(G72="","", (ROW()-1)-IFERROR(INDEX(Buildings!$G$2:$G$101, MATCH(ROW()-1-0.0001, Buildings!$G$2:$G$101, 1)), 0))</f>
        <v/>
      </c>
      <c r="K72" s="15">
        <f>IF(G72="","", CHOOSE(MIN(J72, 10), "First", "Second", "Third", "Fourth", "Fifth", "Sixth", "Seventh", "Eighth", "Ninth", "Tenth") &amp; " Floor")</f>
        <v/>
      </c>
      <c r="L72" s="13">
        <f>IF(G72="","",L71+IF(ISNUMBER(E72),E72,0))</f>
        <v/>
      </c>
    </row>
    <row r="73">
      <c r="A73" s="6">
        <f>IF(F73="","",IF(F73=F72,"",F73))</f>
        <v/>
      </c>
      <c r="B73" s="5">
        <f>IF(G73="","",IF(G73=G72,"",G73))</f>
        <v/>
      </c>
      <c r="C73" s="6">
        <f>IF(H73="","",IF(H73=H72,"",H73))</f>
        <v/>
      </c>
      <c r="D73" s="5">
        <f>IF(G73="","", I73 &amp; "-FL" &amp; TEXT(J73, "00"))</f>
        <v/>
      </c>
      <c r="E73" s="12" t="n"/>
      <c r="F73" s="15">
        <f>IF(ROW()-1&gt;SUM(Buildings!$D$2:$D$101), "", INDEX(Buildings!$F$2:$F$101, IFERROR(MATCH(ROW()-1-0.0001, Buildings!$G$2:$G$101, 1), 0)+1))</f>
        <v/>
      </c>
      <c r="G73" s="14">
        <f>IF(ROW()-1&gt;SUM(Buildings!$D$2:$D$101), "", INDEX(Buildings!$B$2:$B$101, IFERROR(MATCH(ROW()-1-0.0001, Buildings!$G$2:$G$101, 1), 0)+1))</f>
        <v/>
      </c>
      <c r="H73" s="15">
        <f>IF(ROW()-1&gt;SUM(Buildings!$D$2:$D$101), "", INDEX(Buildings!$C$2:$C$101, IFERROR(MATCH(ROW()-1-0.0001, Buildings!$G$2:$G$101, 1), 0)+1))</f>
        <v/>
      </c>
      <c r="I73" s="14">
        <f>IF(G73="","",VALUE(SUBSTITUTE(G73,"BLD","")))</f>
        <v/>
      </c>
      <c r="J73" s="14">
        <f>IF(G73="","", (ROW()-1)-IFERROR(INDEX(Buildings!$G$2:$G$101, MATCH(ROW()-1-0.0001, Buildings!$G$2:$G$101, 1)), 0))</f>
        <v/>
      </c>
      <c r="K73" s="15">
        <f>IF(G73="","", CHOOSE(MIN(J73, 10), "First", "Second", "Third", "Fourth", "Fifth", "Sixth", "Seventh", "Eighth", "Ninth", "Tenth") &amp; " Floor")</f>
        <v/>
      </c>
      <c r="L73" s="13">
        <f>IF(G73="","",L72+IF(ISNUMBER(E73),E73,0))</f>
        <v/>
      </c>
    </row>
    <row r="74">
      <c r="A74" s="6">
        <f>IF(F74="","",IF(F74=F73,"",F74))</f>
        <v/>
      </c>
      <c r="B74" s="5">
        <f>IF(G74="","",IF(G74=G73,"",G74))</f>
        <v/>
      </c>
      <c r="C74" s="6">
        <f>IF(H74="","",IF(H74=H73,"",H74))</f>
        <v/>
      </c>
      <c r="D74" s="5">
        <f>IF(G74="","", I74 &amp; "-FL" &amp; TEXT(J74, "00"))</f>
        <v/>
      </c>
      <c r="E74" s="12" t="n"/>
      <c r="F74" s="15">
        <f>IF(ROW()-1&gt;SUM(Buildings!$D$2:$D$101), "", INDEX(Buildings!$F$2:$F$101, IFERROR(MATCH(ROW()-1-0.0001, Buildings!$G$2:$G$101, 1), 0)+1))</f>
        <v/>
      </c>
      <c r="G74" s="14">
        <f>IF(ROW()-1&gt;SUM(Buildings!$D$2:$D$101), "", INDEX(Buildings!$B$2:$B$101, IFERROR(MATCH(ROW()-1-0.0001, Buildings!$G$2:$G$101, 1), 0)+1))</f>
        <v/>
      </c>
      <c r="H74" s="15">
        <f>IF(ROW()-1&gt;SUM(Buildings!$D$2:$D$101), "", INDEX(Buildings!$C$2:$C$101, IFERROR(MATCH(ROW()-1-0.0001, Buildings!$G$2:$G$101, 1), 0)+1))</f>
        <v/>
      </c>
      <c r="I74" s="14">
        <f>IF(G74="","",VALUE(SUBSTITUTE(G74,"BLD","")))</f>
        <v/>
      </c>
      <c r="J74" s="14">
        <f>IF(G74="","", (ROW()-1)-IFERROR(INDEX(Buildings!$G$2:$G$101, MATCH(ROW()-1-0.0001, Buildings!$G$2:$G$101, 1)), 0))</f>
        <v/>
      </c>
      <c r="K74" s="15">
        <f>IF(G74="","", CHOOSE(MIN(J74, 10), "First", "Second", "Third", "Fourth", "Fifth", "Sixth", "Seventh", "Eighth", "Ninth", "Tenth") &amp; " Floor")</f>
        <v/>
      </c>
      <c r="L74" s="13">
        <f>IF(G74="","",L73+IF(ISNUMBER(E74),E74,0))</f>
        <v/>
      </c>
    </row>
    <row r="75">
      <c r="A75" s="6">
        <f>IF(F75="","",IF(F75=F74,"",F75))</f>
        <v/>
      </c>
      <c r="B75" s="5">
        <f>IF(G75="","",IF(G75=G74,"",G75))</f>
        <v/>
      </c>
      <c r="C75" s="6">
        <f>IF(H75="","",IF(H75=H74,"",H75))</f>
        <v/>
      </c>
      <c r="D75" s="5">
        <f>IF(G75="","", I75 &amp; "-FL" &amp; TEXT(J75, "00"))</f>
        <v/>
      </c>
      <c r="E75" s="12" t="n"/>
      <c r="F75" s="15">
        <f>IF(ROW()-1&gt;SUM(Buildings!$D$2:$D$101), "", INDEX(Buildings!$F$2:$F$101, IFERROR(MATCH(ROW()-1-0.0001, Buildings!$G$2:$G$101, 1), 0)+1))</f>
        <v/>
      </c>
      <c r="G75" s="14">
        <f>IF(ROW()-1&gt;SUM(Buildings!$D$2:$D$101), "", INDEX(Buildings!$B$2:$B$101, IFERROR(MATCH(ROW()-1-0.0001, Buildings!$G$2:$G$101, 1), 0)+1))</f>
        <v/>
      </c>
      <c r="H75" s="15">
        <f>IF(ROW()-1&gt;SUM(Buildings!$D$2:$D$101), "", INDEX(Buildings!$C$2:$C$101, IFERROR(MATCH(ROW()-1-0.0001, Buildings!$G$2:$G$101, 1), 0)+1))</f>
        <v/>
      </c>
      <c r="I75" s="14">
        <f>IF(G75="","",VALUE(SUBSTITUTE(G75,"BLD","")))</f>
        <v/>
      </c>
      <c r="J75" s="14">
        <f>IF(G75="","", (ROW()-1)-IFERROR(INDEX(Buildings!$G$2:$G$101, MATCH(ROW()-1-0.0001, Buildings!$G$2:$G$101, 1)), 0))</f>
        <v/>
      </c>
      <c r="K75" s="15">
        <f>IF(G75="","", CHOOSE(MIN(J75, 10), "First", "Second", "Third", "Fourth", "Fifth", "Sixth", "Seventh", "Eighth", "Ninth", "Tenth") &amp; " Floor")</f>
        <v/>
      </c>
      <c r="L75" s="13">
        <f>IF(G75="","",L74+IF(ISNUMBER(E75),E75,0))</f>
        <v/>
      </c>
    </row>
    <row r="76">
      <c r="A76" s="6">
        <f>IF(F76="","",IF(F76=F75,"",F76))</f>
        <v/>
      </c>
      <c r="B76" s="5">
        <f>IF(G76="","",IF(G76=G75,"",G76))</f>
        <v/>
      </c>
      <c r="C76" s="6">
        <f>IF(H76="","",IF(H76=H75,"",H76))</f>
        <v/>
      </c>
      <c r="D76" s="5">
        <f>IF(G76="","", I76 &amp; "-FL" &amp; TEXT(J76, "00"))</f>
        <v/>
      </c>
      <c r="E76" s="12" t="n"/>
      <c r="F76" s="15">
        <f>IF(ROW()-1&gt;SUM(Buildings!$D$2:$D$101), "", INDEX(Buildings!$F$2:$F$101, IFERROR(MATCH(ROW()-1-0.0001, Buildings!$G$2:$G$101, 1), 0)+1))</f>
        <v/>
      </c>
      <c r="G76" s="14">
        <f>IF(ROW()-1&gt;SUM(Buildings!$D$2:$D$101), "", INDEX(Buildings!$B$2:$B$101, IFERROR(MATCH(ROW()-1-0.0001, Buildings!$G$2:$G$101, 1), 0)+1))</f>
        <v/>
      </c>
      <c r="H76" s="15">
        <f>IF(ROW()-1&gt;SUM(Buildings!$D$2:$D$101), "", INDEX(Buildings!$C$2:$C$101, IFERROR(MATCH(ROW()-1-0.0001, Buildings!$G$2:$G$101, 1), 0)+1))</f>
        <v/>
      </c>
      <c r="I76" s="14">
        <f>IF(G76="","",VALUE(SUBSTITUTE(G76,"BLD","")))</f>
        <v/>
      </c>
      <c r="J76" s="14">
        <f>IF(G76="","", (ROW()-1)-IFERROR(INDEX(Buildings!$G$2:$G$101, MATCH(ROW()-1-0.0001, Buildings!$G$2:$G$101, 1)), 0))</f>
        <v/>
      </c>
      <c r="K76" s="15">
        <f>IF(G76="","", CHOOSE(MIN(J76, 10), "First", "Second", "Third", "Fourth", "Fifth", "Sixth", "Seventh", "Eighth", "Ninth", "Tenth") &amp; " Floor")</f>
        <v/>
      </c>
      <c r="L76" s="13">
        <f>IF(G76="","",L75+IF(ISNUMBER(E76),E76,0))</f>
        <v/>
      </c>
    </row>
    <row r="77">
      <c r="A77" s="6">
        <f>IF(F77="","",IF(F77=F76,"",F77))</f>
        <v/>
      </c>
      <c r="B77" s="5">
        <f>IF(G77="","",IF(G77=G76,"",G77))</f>
        <v/>
      </c>
      <c r="C77" s="6">
        <f>IF(H77="","",IF(H77=H76,"",H77))</f>
        <v/>
      </c>
      <c r="D77" s="5">
        <f>IF(G77="","", I77 &amp; "-FL" &amp; TEXT(J77, "00"))</f>
        <v/>
      </c>
      <c r="E77" s="12" t="n"/>
      <c r="F77" s="15">
        <f>IF(ROW()-1&gt;SUM(Buildings!$D$2:$D$101), "", INDEX(Buildings!$F$2:$F$101, IFERROR(MATCH(ROW()-1-0.0001, Buildings!$G$2:$G$101, 1), 0)+1))</f>
        <v/>
      </c>
      <c r="G77" s="14">
        <f>IF(ROW()-1&gt;SUM(Buildings!$D$2:$D$101), "", INDEX(Buildings!$B$2:$B$101, IFERROR(MATCH(ROW()-1-0.0001, Buildings!$G$2:$G$101, 1), 0)+1))</f>
        <v/>
      </c>
      <c r="H77" s="15">
        <f>IF(ROW()-1&gt;SUM(Buildings!$D$2:$D$101), "", INDEX(Buildings!$C$2:$C$101, IFERROR(MATCH(ROW()-1-0.0001, Buildings!$G$2:$G$101, 1), 0)+1))</f>
        <v/>
      </c>
      <c r="I77" s="14">
        <f>IF(G77="","",VALUE(SUBSTITUTE(G77,"BLD","")))</f>
        <v/>
      </c>
      <c r="J77" s="14">
        <f>IF(G77="","", (ROW()-1)-IFERROR(INDEX(Buildings!$G$2:$G$101, MATCH(ROW()-1-0.0001, Buildings!$G$2:$G$101, 1)), 0))</f>
        <v/>
      </c>
      <c r="K77" s="15">
        <f>IF(G77="","", CHOOSE(MIN(J77, 10), "First", "Second", "Third", "Fourth", "Fifth", "Sixth", "Seventh", "Eighth", "Ninth", "Tenth") &amp; " Floor")</f>
        <v/>
      </c>
      <c r="L77" s="13">
        <f>IF(G77="","",L76+IF(ISNUMBER(E77),E77,0))</f>
        <v/>
      </c>
    </row>
    <row r="78">
      <c r="A78" s="6">
        <f>IF(F78="","",IF(F78=F77,"",F78))</f>
        <v/>
      </c>
      <c r="B78" s="5">
        <f>IF(G78="","",IF(G78=G77,"",G78))</f>
        <v/>
      </c>
      <c r="C78" s="6">
        <f>IF(H78="","",IF(H78=H77,"",H78))</f>
        <v/>
      </c>
      <c r="D78" s="5">
        <f>IF(G78="","", I78 &amp; "-FL" &amp; TEXT(J78, "00"))</f>
        <v/>
      </c>
      <c r="E78" s="12" t="n"/>
      <c r="F78" s="15">
        <f>IF(ROW()-1&gt;SUM(Buildings!$D$2:$D$101), "", INDEX(Buildings!$F$2:$F$101, IFERROR(MATCH(ROW()-1-0.0001, Buildings!$G$2:$G$101, 1), 0)+1))</f>
        <v/>
      </c>
      <c r="G78" s="14">
        <f>IF(ROW()-1&gt;SUM(Buildings!$D$2:$D$101), "", INDEX(Buildings!$B$2:$B$101, IFERROR(MATCH(ROW()-1-0.0001, Buildings!$G$2:$G$101, 1), 0)+1))</f>
        <v/>
      </c>
      <c r="H78" s="15">
        <f>IF(ROW()-1&gt;SUM(Buildings!$D$2:$D$101), "", INDEX(Buildings!$C$2:$C$101, IFERROR(MATCH(ROW()-1-0.0001, Buildings!$G$2:$G$101, 1), 0)+1))</f>
        <v/>
      </c>
      <c r="I78" s="14">
        <f>IF(G78="","",VALUE(SUBSTITUTE(G78,"BLD","")))</f>
        <v/>
      </c>
      <c r="J78" s="14">
        <f>IF(G78="","", (ROW()-1)-IFERROR(INDEX(Buildings!$G$2:$G$101, MATCH(ROW()-1-0.0001, Buildings!$G$2:$G$101, 1)), 0))</f>
        <v/>
      </c>
      <c r="K78" s="15">
        <f>IF(G78="","", CHOOSE(MIN(J78, 10), "First", "Second", "Third", "Fourth", "Fifth", "Sixth", "Seventh", "Eighth", "Ninth", "Tenth") &amp; " Floor")</f>
        <v/>
      </c>
      <c r="L78" s="13">
        <f>IF(G78="","",L77+IF(ISNUMBER(E78),E78,0))</f>
        <v/>
      </c>
    </row>
    <row r="79">
      <c r="A79" s="6">
        <f>IF(F79="","",IF(F79=F78,"",F79))</f>
        <v/>
      </c>
      <c r="B79" s="5">
        <f>IF(G79="","",IF(G79=G78,"",G79))</f>
        <v/>
      </c>
      <c r="C79" s="6">
        <f>IF(H79="","",IF(H79=H78,"",H79))</f>
        <v/>
      </c>
      <c r="D79" s="5">
        <f>IF(G79="","", I79 &amp; "-FL" &amp; TEXT(J79, "00"))</f>
        <v/>
      </c>
      <c r="E79" s="12" t="n"/>
      <c r="F79" s="15">
        <f>IF(ROW()-1&gt;SUM(Buildings!$D$2:$D$101), "", INDEX(Buildings!$F$2:$F$101, IFERROR(MATCH(ROW()-1-0.0001, Buildings!$G$2:$G$101, 1), 0)+1))</f>
        <v/>
      </c>
      <c r="G79" s="14">
        <f>IF(ROW()-1&gt;SUM(Buildings!$D$2:$D$101), "", INDEX(Buildings!$B$2:$B$101, IFERROR(MATCH(ROW()-1-0.0001, Buildings!$G$2:$G$101, 1), 0)+1))</f>
        <v/>
      </c>
      <c r="H79" s="15">
        <f>IF(ROW()-1&gt;SUM(Buildings!$D$2:$D$101), "", INDEX(Buildings!$C$2:$C$101, IFERROR(MATCH(ROW()-1-0.0001, Buildings!$G$2:$G$101, 1), 0)+1))</f>
        <v/>
      </c>
      <c r="I79" s="14">
        <f>IF(G79="","",VALUE(SUBSTITUTE(G79,"BLD","")))</f>
        <v/>
      </c>
      <c r="J79" s="14">
        <f>IF(G79="","", (ROW()-1)-IFERROR(INDEX(Buildings!$G$2:$G$101, MATCH(ROW()-1-0.0001, Buildings!$G$2:$G$101, 1)), 0))</f>
        <v/>
      </c>
      <c r="K79" s="15">
        <f>IF(G79="","", CHOOSE(MIN(J79, 10), "First", "Second", "Third", "Fourth", "Fifth", "Sixth", "Seventh", "Eighth", "Ninth", "Tenth") &amp; " Floor")</f>
        <v/>
      </c>
      <c r="L79" s="13">
        <f>IF(G79="","",L78+IF(ISNUMBER(E79),E79,0))</f>
        <v/>
      </c>
    </row>
    <row r="80">
      <c r="A80" s="6">
        <f>IF(F80="","",IF(F80=F79,"",F80))</f>
        <v/>
      </c>
      <c r="B80" s="5">
        <f>IF(G80="","",IF(G80=G79,"",G80))</f>
        <v/>
      </c>
      <c r="C80" s="6">
        <f>IF(H80="","",IF(H80=H79,"",H80))</f>
        <v/>
      </c>
      <c r="D80" s="5">
        <f>IF(G80="","", I80 &amp; "-FL" &amp; TEXT(J80, "00"))</f>
        <v/>
      </c>
      <c r="E80" s="12" t="n"/>
      <c r="F80" s="15">
        <f>IF(ROW()-1&gt;SUM(Buildings!$D$2:$D$101), "", INDEX(Buildings!$F$2:$F$101, IFERROR(MATCH(ROW()-1-0.0001, Buildings!$G$2:$G$101, 1), 0)+1))</f>
        <v/>
      </c>
      <c r="G80" s="14">
        <f>IF(ROW()-1&gt;SUM(Buildings!$D$2:$D$101), "", INDEX(Buildings!$B$2:$B$101, IFERROR(MATCH(ROW()-1-0.0001, Buildings!$G$2:$G$101, 1), 0)+1))</f>
        <v/>
      </c>
      <c r="H80" s="15">
        <f>IF(ROW()-1&gt;SUM(Buildings!$D$2:$D$101), "", INDEX(Buildings!$C$2:$C$101, IFERROR(MATCH(ROW()-1-0.0001, Buildings!$G$2:$G$101, 1), 0)+1))</f>
        <v/>
      </c>
      <c r="I80" s="14">
        <f>IF(G80="","",VALUE(SUBSTITUTE(G80,"BLD","")))</f>
        <v/>
      </c>
      <c r="J80" s="14">
        <f>IF(G80="","", (ROW()-1)-IFERROR(INDEX(Buildings!$G$2:$G$101, MATCH(ROW()-1-0.0001, Buildings!$G$2:$G$101, 1)), 0))</f>
        <v/>
      </c>
      <c r="K80" s="15">
        <f>IF(G80="","", CHOOSE(MIN(J80, 10), "First", "Second", "Third", "Fourth", "Fifth", "Sixth", "Seventh", "Eighth", "Ninth", "Tenth") &amp; " Floor")</f>
        <v/>
      </c>
      <c r="L80" s="13">
        <f>IF(G80="","",L79+IF(ISNUMBER(E80),E80,0))</f>
        <v/>
      </c>
    </row>
    <row r="81">
      <c r="A81" s="6">
        <f>IF(F81="","",IF(F81=F80,"",F81))</f>
        <v/>
      </c>
      <c r="B81" s="5">
        <f>IF(G81="","",IF(G81=G80,"",G81))</f>
        <v/>
      </c>
      <c r="C81" s="6">
        <f>IF(H81="","",IF(H81=H80,"",H81))</f>
        <v/>
      </c>
      <c r="D81" s="5">
        <f>IF(G81="","", I81 &amp; "-FL" &amp; TEXT(J81, "00"))</f>
        <v/>
      </c>
      <c r="E81" s="12" t="n"/>
      <c r="F81" s="15">
        <f>IF(ROW()-1&gt;SUM(Buildings!$D$2:$D$101), "", INDEX(Buildings!$F$2:$F$101, IFERROR(MATCH(ROW()-1-0.0001, Buildings!$G$2:$G$101, 1), 0)+1))</f>
        <v/>
      </c>
      <c r="G81" s="14">
        <f>IF(ROW()-1&gt;SUM(Buildings!$D$2:$D$101), "", INDEX(Buildings!$B$2:$B$101, IFERROR(MATCH(ROW()-1-0.0001, Buildings!$G$2:$G$101, 1), 0)+1))</f>
        <v/>
      </c>
      <c r="H81" s="15">
        <f>IF(ROW()-1&gt;SUM(Buildings!$D$2:$D$101), "", INDEX(Buildings!$C$2:$C$101, IFERROR(MATCH(ROW()-1-0.0001, Buildings!$G$2:$G$101, 1), 0)+1))</f>
        <v/>
      </c>
      <c r="I81" s="14">
        <f>IF(G81="","",VALUE(SUBSTITUTE(G81,"BLD","")))</f>
        <v/>
      </c>
      <c r="J81" s="14">
        <f>IF(G81="","", (ROW()-1)-IFERROR(INDEX(Buildings!$G$2:$G$101, MATCH(ROW()-1-0.0001, Buildings!$G$2:$G$101, 1)), 0))</f>
        <v/>
      </c>
      <c r="K81" s="15">
        <f>IF(G81="","", CHOOSE(MIN(J81, 10), "First", "Second", "Third", "Fourth", "Fifth", "Sixth", "Seventh", "Eighth", "Ninth", "Tenth") &amp; " Floor")</f>
        <v/>
      </c>
      <c r="L81" s="13">
        <f>IF(G81="","",L80+IF(ISNUMBER(E81),E81,0))</f>
        <v/>
      </c>
    </row>
    <row r="82">
      <c r="A82" s="6">
        <f>IF(F82="","",IF(F82=F81,"",F82))</f>
        <v/>
      </c>
      <c r="B82" s="5">
        <f>IF(G82="","",IF(G82=G81,"",G82))</f>
        <v/>
      </c>
      <c r="C82" s="6">
        <f>IF(H82="","",IF(H82=H81,"",H82))</f>
        <v/>
      </c>
      <c r="D82" s="5">
        <f>IF(G82="","", I82 &amp; "-FL" &amp; TEXT(J82, "00"))</f>
        <v/>
      </c>
      <c r="E82" s="12" t="n"/>
      <c r="F82" s="15">
        <f>IF(ROW()-1&gt;SUM(Buildings!$D$2:$D$101), "", INDEX(Buildings!$F$2:$F$101, IFERROR(MATCH(ROW()-1-0.0001, Buildings!$G$2:$G$101, 1), 0)+1))</f>
        <v/>
      </c>
      <c r="G82" s="14">
        <f>IF(ROW()-1&gt;SUM(Buildings!$D$2:$D$101), "", INDEX(Buildings!$B$2:$B$101, IFERROR(MATCH(ROW()-1-0.0001, Buildings!$G$2:$G$101, 1), 0)+1))</f>
        <v/>
      </c>
      <c r="H82" s="15">
        <f>IF(ROW()-1&gt;SUM(Buildings!$D$2:$D$101), "", INDEX(Buildings!$C$2:$C$101, IFERROR(MATCH(ROW()-1-0.0001, Buildings!$G$2:$G$101, 1), 0)+1))</f>
        <v/>
      </c>
      <c r="I82" s="14">
        <f>IF(G82="","",VALUE(SUBSTITUTE(G82,"BLD","")))</f>
        <v/>
      </c>
      <c r="J82" s="14">
        <f>IF(G82="","", (ROW()-1)-IFERROR(INDEX(Buildings!$G$2:$G$101, MATCH(ROW()-1-0.0001, Buildings!$G$2:$G$101, 1)), 0))</f>
        <v/>
      </c>
      <c r="K82" s="15">
        <f>IF(G82="","", CHOOSE(MIN(J82, 10), "First", "Second", "Third", "Fourth", "Fifth", "Sixth", "Seventh", "Eighth", "Ninth", "Tenth") &amp; " Floor")</f>
        <v/>
      </c>
      <c r="L82" s="13">
        <f>IF(G82="","",L81+IF(ISNUMBER(E82),E82,0))</f>
        <v/>
      </c>
    </row>
    <row r="83">
      <c r="A83" s="6">
        <f>IF(F83="","",IF(F83=F82,"",F83))</f>
        <v/>
      </c>
      <c r="B83" s="5">
        <f>IF(G83="","",IF(G83=G82,"",G83))</f>
        <v/>
      </c>
      <c r="C83" s="6">
        <f>IF(H83="","",IF(H83=H82,"",H83))</f>
        <v/>
      </c>
      <c r="D83" s="5">
        <f>IF(G83="","", I83 &amp; "-FL" &amp; TEXT(J83, "00"))</f>
        <v/>
      </c>
      <c r="E83" s="12" t="n"/>
      <c r="F83" s="15">
        <f>IF(ROW()-1&gt;SUM(Buildings!$D$2:$D$101), "", INDEX(Buildings!$F$2:$F$101, IFERROR(MATCH(ROW()-1-0.0001, Buildings!$G$2:$G$101, 1), 0)+1))</f>
        <v/>
      </c>
      <c r="G83" s="14">
        <f>IF(ROW()-1&gt;SUM(Buildings!$D$2:$D$101), "", INDEX(Buildings!$B$2:$B$101, IFERROR(MATCH(ROW()-1-0.0001, Buildings!$G$2:$G$101, 1), 0)+1))</f>
        <v/>
      </c>
      <c r="H83" s="15">
        <f>IF(ROW()-1&gt;SUM(Buildings!$D$2:$D$101), "", INDEX(Buildings!$C$2:$C$101, IFERROR(MATCH(ROW()-1-0.0001, Buildings!$G$2:$G$101, 1), 0)+1))</f>
        <v/>
      </c>
      <c r="I83" s="14">
        <f>IF(G83="","",VALUE(SUBSTITUTE(G83,"BLD","")))</f>
        <v/>
      </c>
      <c r="J83" s="14">
        <f>IF(G83="","", (ROW()-1)-IFERROR(INDEX(Buildings!$G$2:$G$101, MATCH(ROW()-1-0.0001, Buildings!$G$2:$G$101, 1)), 0))</f>
        <v/>
      </c>
      <c r="K83" s="15">
        <f>IF(G83="","", CHOOSE(MIN(J83, 10), "First", "Second", "Third", "Fourth", "Fifth", "Sixth", "Seventh", "Eighth", "Ninth", "Tenth") &amp; " Floor")</f>
        <v/>
      </c>
      <c r="L83" s="13">
        <f>IF(G83="","",L82+IF(ISNUMBER(E83),E83,0))</f>
        <v/>
      </c>
    </row>
    <row r="84">
      <c r="A84" s="6">
        <f>IF(F84="","",IF(F84=F83,"",F84))</f>
        <v/>
      </c>
      <c r="B84" s="5">
        <f>IF(G84="","",IF(G84=G83,"",G84))</f>
        <v/>
      </c>
      <c r="C84" s="6">
        <f>IF(H84="","",IF(H84=H83,"",H84))</f>
        <v/>
      </c>
      <c r="D84" s="5">
        <f>IF(G84="","", I84 &amp; "-FL" &amp; TEXT(J84, "00"))</f>
        <v/>
      </c>
      <c r="E84" s="12" t="n"/>
      <c r="F84" s="15">
        <f>IF(ROW()-1&gt;SUM(Buildings!$D$2:$D$101), "", INDEX(Buildings!$F$2:$F$101, IFERROR(MATCH(ROW()-1-0.0001, Buildings!$G$2:$G$101, 1), 0)+1))</f>
        <v/>
      </c>
      <c r="G84" s="14">
        <f>IF(ROW()-1&gt;SUM(Buildings!$D$2:$D$101), "", INDEX(Buildings!$B$2:$B$101, IFERROR(MATCH(ROW()-1-0.0001, Buildings!$G$2:$G$101, 1), 0)+1))</f>
        <v/>
      </c>
      <c r="H84" s="15">
        <f>IF(ROW()-1&gt;SUM(Buildings!$D$2:$D$101), "", INDEX(Buildings!$C$2:$C$101, IFERROR(MATCH(ROW()-1-0.0001, Buildings!$G$2:$G$101, 1), 0)+1))</f>
        <v/>
      </c>
      <c r="I84" s="14">
        <f>IF(G84="","",VALUE(SUBSTITUTE(G84,"BLD","")))</f>
        <v/>
      </c>
      <c r="J84" s="14">
        <f>IF(G84="","", (ROW()-1)-IFERROR(INDEX(Buildings!$G$2:$G$101, MATCH(ROW()-1-0.0001, Buildings!$G$2:$G$101, 1)), 0))</f>
        <v/>
      </c>
      <c r="K84" s="15">
        <f>IF(G84="","", CHOOSE(MIN(J84, 10), "First", "Second", "Third", "Fourth", "Fifth", "Sixth", "Seventh", "Eighth", "Ninth", "Tenth") &amp; " Floor")</f>
        <v/>
      </c>
      <c r="L84" s="13">
        <f>IF(G84="","",L83+IF(ISNUMBER(E84),E84,0))</f>
        <v/>
      </c>
    </row>
    <row r="85">
      <c r="A85" s="6">
        <f>IF(F85="","",IF(F85=F84,"",F85))</f>
        <v/>
      </c>
      <c r="B85" s="5">
        <f>IF(G85="","",IF(G85=G84,"",G85))</f>
        <v/>
      </c>
      <c r="C85" s="6">
        <f>IF(H85="","",IF(H85=H84,"",H85))</f>
        <v/>
      </c>
      <c r="D85" s="5">
        <f>IF(G85="","", I85 &amp; "-FL" &amp; TEXT(J85, "00"))</f>
        <v/>
      </c>
      <c r="E85" s="12" t="n"/>
      <c r="F85" s="15">
        <f>IF(ROW()-1&gt;SUM(Buildings!$D$2:$D$101), "", INDEX(Buildings!$F$2:$F$101, IFERROR(MATCH(ROW()-1-0.0001, Buildings!$G$2:$G$101, 1), 0)+1))</f>
        <v/>
      </c>
      <c r="G85" s="14">
        <f>IF(ROW()-1&gt;SUM(Buildings!$D$2:$D$101), "", INDEX(Buildings!$B$2:$B$101, IFERROR(MATCH(ROW()-1-0.0001, Buildings!$G$2:$G$101, 1), 0)+1))</f>
        <v/>
      </c>
      <c r="H85" s="15">
        <f>IF(ROW()-1&gt;SUM(Buildings!$D$2:$D$101), "", INDEX(Buildings!$C$2:$C$101, IFERROR(MATCH(ROW()-1-0.0001, Buildings!$G$2:$G$101, 1), 0)+1))</f>
        <v/>
      </c>
      <c r="I85" s="14">
        <f>IF(G85="","",VALUE(SUBSTITUTE(G85,"BLD","")))</f>
        <v/>
      </c>
      <c r="J85" s="14">
        <f>IF(G85="","", (ROW()-1)-IFERROR(INDEX(Buildings!$G$2:$G$101, MATCH(ROW()-1-0.0001, Buildings!$G$2:$G$101, 1)), 0))</f>
        <v/>
      </c>
      <c r="K85" s="15">
        <f>IF(G85="","", CHOOSE(MIN(J85, 10), "First", "Second", "Third", "Fourth", "Fifth", "Sixth", "Seventh", "Eighth", "Ninth", "Tenth") &amp; " Floor")</f>
        <v/>
      </c>
      <c r="L85" s="13">
        <f>IF(G85="","",L84+IF(ISNUMBER(E85),E85,0))</f>
        <v/>
      </c>
    </row>
    <row r="86">
      <c r="A86" s="6">
        <f>IF(F86="","",IF(F86=F85,"",F86))</f>
        <v/>
      </c>
      <c r="B86" s="5">
        <f>IF(G86="","",IF(G86=G85,"",G86))</f>
        <v/>
      </c>
      <c r="C86" s="6">
        <f>IF(H86="","",IF(H86=H85,"",H86))</f>
        <v/>
      </c>
      <c r="D86" s="5">
        <f>IF(G86="","", I86 &amp; "-FL" &amp; TEXT(J86, "00"))</f>
        <v/>
      </c>
      <c r="E86" s="12" t="n"/>
      <c r="F86" s="15">
        <f>IF(ROW()-1&gt;SUM(Buildings!$D$2:$D$101), "", INDEX(Buildings!$F$2:$F$101, IFERROR(MATCH(ROW()-1-0.0001, Buildings!$G$2:$G$101, 1), 0)+1))</f>
        <v/>
      </c>
      <c r="G86" s="14">
        <f>IF(ROW()-1&gt;SUM(Buildings!$D$2:$D$101), "", INDEX(Buildings!$B$2:$B$101, IFERROR(MATCH(ROW()-1-0.0001, Buildings!$G$2:$G$101, 1), 0)+1))</f>
        <v/>
      </c>
      <c r="H86" s="15">
        <f>IF(ROW()-1&gt;SUM(Buildings!$D$2:$D$101), "", INDEX(Buildings!$C$2:$C$101, IFERROR(MATCH(ROW()-1-0.0001, Buildings!$G$2:$G$101, 1), 0)+1))</f>
        <v/>
      </c>
      <c r="I86" s="14">
        <f>IF(G86="","",VALUE(SUBSTITUTE(G86,"BLD","")))</f>
        <v/>
      </c>
      <c r="J86" s="14">
        <f>IF(G86="","", (ROW()-1)-IFERROR(INDEX(Buildings!$G$2:$G$101, MATCH(ROW()-1-0.0001, Buildings!$G$2:$G$101, 1)), 0))</f>
        <v/>
      </c>
      <c r="K86" s="15">
        <f>IF(G86="","", CHOOSE(MIN(J86, 10), "First", "Second", "Third", "Fourth", "Fifth", "Sixth", "Seventh", "Eighth", "Ninth", "Tenth") &amp; " Floor")</f>
        <v/>
      </c>
      <c r="L86" s="13">
        <f>IF(G86="","",L85+IF(ISNUMBER(E86),E86,0))</f>
        <v/>
      </c>
    </row>
    <row r="87">
      <c r="A87" s="6">
        <f>IF(F87="","",IF(F87=F86,"",F87))</f>
        <v/>
      </c>
      <c r="B87" s="5">
        <f>IF(G87="","",IF(G87=G86,"",G87))</f>
        <v/>
      </c>
      <c r="C87" s="6">
        <f>IF(H87="","",IF(H87=H86,"",H87))</f>
        <v/>
      </c>
      <c r="D87" s="5">
        <f>IF(G87="","", I87 &amp; "-FL" &amp; TEXT(J87, "00"))</f>
        <v/>
      </c>
      <c r="E87" s="12" t="n"/>
      <c r="F87" s="15">
        <f>IF(ROW()-1&gt;SUM(Buildings!$D$2:$D$101), "", INDEX(Buildings!$F$2:$F$101, IFERROR(MATCH(ROW()-1-0.0001, Buildings!$G$2:$G$101, 1), 0)+1))</f>
        <v/>
      </c>
      <c r="G87" s="14">
        <f>IF(ROW()-1&gt;SUM(Buildings!$D$2:$D$101), "", INDEX(Buildings!$B$2:$B$101, IFERROR(MATCH(ROW()-1-0.0001, Buildings!$G$2:$G$101, 1), 0)+1))</f>
        <v/>
      </c>
      <c r="H87" s="15">
        <f>IF(ROW()-1&gt;SUM(Buildings!$D$2:$D$101), "", INDEX(Buildings!$C$2:$C$101, IFERROR(MATCH(ROW()-1-0.0001, Buildings!$G$2:$G$101, 1), 0)+1))</f>
        <v/>
      </c>
      <c r="I87" s="14">
        <f>IF(G87="","",VALUE(SUBSTITUTE(G87,"BLD","")))</f>
        <v/>
      </c>
      <c r="J87" s="14">
        <f>IF(G87="","", (ROW()-1)-IFERROR(INDEX(Buildings!$G$2:$G$101, MATCH(ROW()-1-0.0001, Buildings!$G$2:$G$101, 1)), 0))</f>
        <v/>
      </c>
      <c r="K87" s="15">
        <f>IF(G87="","", CHOOSE(MIN(J87, 10), "First", "Second", "Third", "Fourth", "Fifth", "Sixth", "Seventh", "Eighth", "Ninth", "Tenth") &amp; " Floor")</f>
        <v/>
      </c>
      <c r="L87" s="13">
        <f>IF(G87="","",L86+IF(ISNUMBER(E87),E87,0))</f>
        <v/>
      </c>
    </row>
    <row r="88">
      <c r="A88" s="6">
        <f>IF(F88="","",IF(F88=F87,"",F88))</f>
        <v/>
      </c>
      <c r="B88" s="5">
        <f>IF(G88="","",IF(G88=G87,"",G88))</f>
        <v/>
      </c>
      <c r="C88" s="6">
        <f>IF(H88="","",IF(H88=H87,"",H88))</f>
        <v/>
      </c>
      <c r="D88" s="5">
        <f>IF(G88="","", I88 &amp; "-FL" &amp; TEXT(J88, "00"))</f>
        <v/>
      </c>
      <c r="E88" s="12" t="n"/>
      <c r="F88" s="15">
        <f>IF(ROW()-1&gt;SUM(Buildings!$D$2:$D$101), "", INDEX(Buildings!$F$2:$F$101, IFERROR(MATCH(ROW()-1-0.0001, Buildings!$G$2:$G$101, 1), 0)+1))</f>
        <v/>
      </c>
      <c r="G88" s="14">
        <f>IF(ROW()-1&gt;SUM(Buildings!$D$2:$D$101), "", INDEX(Buildings!$B$2:$B$101, IFERROR(MATCH(ROW()-1-0.0001, Buildings!$G$2:$G$101, 1), 0)+1))</f>
        <v/>
      </c>
      <c r="H88" s="15">
        <f>IF(ROW()-1&gt;SUM(Buildings!$D$2:$D$101), "", INDEX(Buildings!$C$2:$C$101, IFERROR(MATCH(ROW()-1-0.0001, Buildings!$G$2:$G$101, 1), 0)+1))</f>
        <v/>
      </c>
      <c r="I88" s="14">
        <f>IF(G88="","",VALUE(SUBSTITUTE(G88,"BLD","")))</f>
        <v/>
      </c>
      <c r="J88" s="14">
        <f>IF(G88="","", (ROW()-1)-IFERROR(INDEX(Buildings!$G$2:$G$101, MATCH(ROW()-1-0.0001, Buildings!$G$2:$G$101, 1)), 0))</f>
        <v/>
      </c>
      <c r="K88" s="15">
        <f>IF(G88="","", CHOOSE(MIN(J88, 10), "First", "Second", "Third", "Fourth", "Fifth", "Sixth", "Seventh", "Eighth", "Ninth", "Tenth") &amp; " Floor")</f>
        <v/>
      </c>
      <c r="L88" s="13">
        <f>IF(G88="","",L87+IF(ISNUMBER(E88),E88,0))</f>
        <v/>
      </c>
    </row>
    <row r="89">
      <c r="A89" s="6">
        <f>IF(F89="","",IF(F89=F88,"",F89))</f>
        <v/>
      </c>
      <c r="B89" s="5">
        <f>IF(G89="","",IF(G89=G88,"",G89))</f>
        <v/>
      </c>
      <c r="C89" s="6">
        <f>IF(H89="","",IF(H89=H88,"",H89))</f>
        <v/>
      </c>
      <c r="D89" s="5">
        <f>IF(G89="","", I89 &amp; "-FL" &amp; TEXT(J89, "00"))</f>
        <v/>
      </c>
      <c r="E89" s="12" t="n"/>
      <c r="F89" s="15">
        <f>IF(ROW()-1&gt;SUM(Buildings!$D$2:$D$101), "", INDEX(Buildings!$F$2:$F$101, IFERROR(MATCH(ROW()-1-0.0001, Buildings!$G$2:$G$101, 1), 0)+1))</f>
        <v/>
      </c>
      <c r="G89" s="14">
        <f>IF(ROW()-1&gt;SUM(Buildings!$D$2:$D$101), "", INDEX(Buildings!$B$2:$B$101, IFERROR(MATCH(ROW()-1-0.0001, Buildings!$G$2:$G$101, 1), 0)+1))</f>
        <v/>
      </c>
      <c r="H89" s="15">
        <f>IF(ROW()-1&gt;SUM(Buildings!$D$2:$D$101), "", INDEX(Buildings!$C$2:$C$101, IFERROR(MATCH(ROW()-1-0.0001, Buildings!$G$2:$G$101, 1), 0)+1))</f>
        <v/>
      </c>
      <c r="I89" s="14">
        <f>IF(G89="","",VALUE(SUBSTITUTE(G89,"BLD","")))</f>
        <v/>
      </c>
      <c r="J89" s="14">
        <f>IF(G89="","", (ROW()-1)-IFERROR(INDEX(Buildings!$G$2:$G$101, MATCH(ROW()-1-0.0001, Buildings!$G$2:$G$101, 1)), 0))</f>
        <v/>
      </c>
      <c r="K89" s="15">
        <f>IF(G89="","", CHOOSE(MIN(J89, 10), "First", "Second", "Third", "Fourth", "Fifth", "Sixth", "Seventh", "Eighth", "Ninth", "Tenth") &amp; " Floor")</f>
        <v/>
      </c>
      <c r="L89" s="13">
        <f>IF(G89="","",L88+IF(ISNUMBER(E89),E89,0))</f>
        <v/>
      </c>
    </row>
    <row r="90">
      <c r="A90" s="6">
        <f>IF(F90="","",IF(F90=F89,"",F90))</f>
        <v/>
      </c>
      <c r="B90" s="5">
        <f>IF(G90="","",IF(G90=G89,"",G90))</f>
        <v/>
      </c>
      <c r="C90" s="6">
        <f>IF(H90="","",IF(H90=H89,"",H90))</f>
        <v/>
      </c>
      <c r="D90" s="5">
        <f>IF(G90="","", I90 &amp; "-FL" &amp; TEXT(J90, "00"))</f>
        <v/>
      </c>
      <c r="E90" s="12" t="n"/>
      <c r="F90" s="15">
        <f>IF(ROW()-1&gt;SUM(Buildings!$D$2:$D$101), "", INDEX(Buildings!$F$2:$F$101, IFERROR(MATCH(ROW()-1-0.0001, Buildings!$G$2:$G$101, 1), 0)+1))</f>
        <v/>
      </c>
      <c r="G90" s="14">
        <f>IF(ROW()-1&gt;SUM(Buildings!$D$2:$D$101), "", INDEX(Buildings!$B$2:$B$101, IFERROR(MATCH(ROW()-1-0.0001, Buildings!$G$2:$G$101, 1), 0)+1))</f>
        <v/>
      </c>
      <c r="H90" s="15">
        <f>IF(ROW()-1&gt;SUM(Buildings!$D$2:$D$101), "", INDEX(Buildings!$C$2:$C$101, IFERROR(MATCH(ROW()-1-0.0001, Buildings!$G$2:$G$101, 1), 0)+1))</f>
        <v/>
      </c>
      <c r="I90" s="14">
        <f>IF(G90="","",VALUE(SUBSTITUTE(G90,"BLD","")))</f>
        <v/>
      </c>
      <c r="J90" s="14">
        <f>IF(G90="","", (ROW()-1)-IFERROR(INDEX(Buildings!$G$2:$G$101, MATCH(ROW()-1-0.0001, Buildings!$G$2:$G$101, 1)), 0))</f>
        <v/>
      </c>
      <c r="K90" s="15">
        <f>IF(G90="","", CHOOSE(MIN(J90, 10), "First", "Second", "Third", "Fourth", "Fifth", "Sixth", "Seventh", "Eighth", "Ninth", "Tenth") &amp; " Floor")</f>
        <v/>
      </c>
      <c r="L90" s="13">
        <f>IF(G90="","",L89+IF(ISNUMBER(E90),E90,0))</f>
        <v/>
      </c>
    </row>
    <row r="91">
      <c r="A91" s="6">
        <f>IF(F91="","",IF(F91=F90,"",F91))</f>
        <v/>
      </c>
      <c r="B91" s="5">
        <f>IF(G91="","",IF(G91=G90,"",G91))</f>
        <v/>
      </c>
      <c r="C91" s="6">
        <f>IF(H91="","",IF(H91=H90,"",H91))</f>
        <v/>
      </c>
      <c r="D91" s="5">
        <f>IF(G91="","", I91 &amp; "-FL" &amp; TEXT(J91, "00"))</f>
        <v/>
      </c>
      <c r="E91" s="12" t="n"/>
      <c r="F91" s="15">
        <f>IF(ROW()-1&gt;SUM(Buildings!$D$2:$D$101), "", INDEX(Buildings!$F$2:$F$101, IFERROR(MATCH(ROW()-1-0.0001, Buildings!$G$2:$G$101, 1), 0)+1))</f>
        <v/>
      </c>
      <c r="G91" s="14">
        <f>IF(ROW()-1&gt;SUM(Buildings!$D$2:$D$101), "", INDEX(Buildings!$B$2:$B$101, IFERROR(MATCH(ROW()-1-0.0001, Buildings!$G$2:$G$101, 1), 0)+1))</f>
        <v/>
      </c>
      <c r="H91" s="15">
        <f>IF(ROW()-1&gt;SUM(Buildings!$D$2:$D$101), "", INDEX(Buildings!$C$2:$C$101, IFERROR(MATCH(ROW()-1-0.0001, Buildings!$G$2:$G$101, 1), 0)+1))</f>
        <v/>
      </c>
      <c r="I91" s="14">
        <f>IF(G91="","",VALUE(SUBSTITUTE(G91,"BLD","")))</f>
        <v/>
      </c>
      <c r="J91" s="14">
        <f>IF(G91="","", (ROW()-1)-IFERROR(INDEX(Buildings!$G$2:$G$101, MATCH(ROW()-1-0.0001, Buildings!$G$2:$G$101, 1)), 0))</f>
        <v/>
      </c>
      <c r="K91" s="15">
        <f>IF(G91="","", CHOOSE(MIN(J91, 10), "First", "Second", "Third", "Fourth", "Fifth", "Sixth", "Seventh", "Eighth", "Ninth", "Tenth") &amp; " Floor")</f>
        <v/>
      </c>
      <c r="L91" s="13">
        <f>IF(G91="","",L90+IF(ISNUMBER(E91),E91,0))</f>
        <v/>
      </c>
    </row>
    <row r="92">
      <c r="A92" s="6">
        <f>IF(F92="","",IF(F92=F91,"",F92))</f>
        <v/>
      </c>
      <c r="B92" s="5">
        <f>IF(G92="","",IF(G92=G91,"",G92))</f>
        <v/>
      </c>
      <c r="C92" s="6">
        <f>IF(H92="","",IF(H92=H91,"",H92))</f>
        <v/>
      </c>
      <c r="D92" s="5">
        <f>IF(G92="","", I92 &amp; "-FL" &amp; TEXT(J92, "00"))</f>
        <v/>
      </c>
      <c r="E92" s="12" t="n"/>
      <c r="F92" s="15">
        <f>IF(ROW()-1&gt;SUM(Buildings!$D$2:$D$101), "", INDEX(Buildings!$F$2:$F$101, IFERROR(MATCH(ROW()-1-0.0001, Buildings!$G$2:$G$101, 1), 0)+1))</f>
        <v/>
      </c>
      <c r="G92" s="14">
        <f>IF(ROW()-1&gt;SUM(Buildings!$D$2:$D$101), "", INDEX(Buildings!$B$2:$B$101, IFERROR(MATCH(ROW()-1-0.0001, Buildings!$G$2:$G$101, 1), 0)+1))</f>
        <v/>
      </c>
      <c r="H92" s="15">
        <f>IF(ROW()-1&gt;SUM(Buildings!$D$2:$D$101), "", INDEX(Buildings!$C$2:$C$101, IFERROR(MATCH(ROW()-1-0.0001, Buildings!$G$2:$G$101, 1), 0)+1))</f>
        <v/>
      </c>
      <c r="I92" s="14">
        <f>IF(G92="","",VALUE(SUBSTITUTE(G92,"BLD","")))</f>
        <v/>
      </c>
      <c r="J92" s="14">
        <f>IF(G92="","", (ROW()-1)-IFERROR(INDEX(Buildings!$G$2:$G$101, MATCH(ROW()-1-0.0001, Buildings!$G$2:$G$101, 1)), 0))</f>
        <v/>
      </c>
      <c r="K92" s="15">
        <f>IF(G92="","", CHOOSE(MIN(J92, 10), "First", "Second", "Third", "Fourth", "Fifth", "Sixth", "Seventh", "Eighth", "Ninth", "Tenth") &amp; " Floor")</f>
        <v/>
      </c>
      <c r="L92" s="13">
        <f>IF(G92="","",L91+IF(ISNUMBER(E92),E92,0))</f>
        <v/>
      </c>
    </row>
    <row r="93">
      <c r="A93" s="6">
        <f>IF(F93="","",IF(F93=F92,"",F93))</f>
        <v/>
      </c>
      <c r="B93" s="5">
        <f>IF(G93="","",IF(G93=G92,"",G93))</f>
        <v/>
      </c>
      <c r="C93" s="6">
        <f>IF(H93="","",IF(H93=H92,"",H93))</f>
        <v/>
      </c>
      <c r="D93" s="5">
        <f>IF(G93="","", I93 &amp; "-FL" &amp; TEXT(J93, "00"))</f>
        <v/>
      </c>
      <c r="E93" s="12" t="n"/>
      <c r="F93" s="15">
        <f>IF(ROW()-1&gt;SUM(Buildings!$D$2:$D$101), "", INDEX(Buildings!$F$2:$F$101, IFERROR(MATCH(ROW()-1-0.0001, Buildings!$G$2:$G$101, 1), 0)+1))</f>
        <v/>
      </c>
      <c r="G93" s="14">
        <f>IF(ROW()-1&gt;SUM(Buildings!$D$2:$D$101), "", INDEX(Buildings!$B$2:$B$101, IFERROR(MATCH(ROW()-1-0.0001, Buildings!$G$2:$G$101, 1), 0)+1))</f>
        <v/>
      </c>
      <c r="H93" s="15">
        <f>IF(ROW()-1&gt;SUM(Buildings!$D$2:$D$101), "", INDEX(Buildings!$C$2:$C$101, IFERROR(MATCH(ROW()-1-0.0001, Buildings!$G$2:$G$101, 1), 0)+1))</f>
        <v/>
      </c>
      <c r="I93" s="14">
        <f>IF(G93="","",VALUE(SUBSTITUTE(G93,"BLD","")))</f>
        <v/>
      </c>
      <c r="J93" s="14">
        <f>IF(G93="","", (ROW()-1)-IFERROR(INDEX(Buildings!$G$2:$G$101, MATCH(ROW()-1-0.0001, Buildings!$G$2:$G$101, 1)), 0))</f>
        <v/>
      </c>
      <c r="K93" s="15">
        <f>IF(G93="","", CHOOSE(MIN(J93, 10), "First", "Second", "Third", "Fourth", "Fifth", "Sixth", "Seventh", "Eighth", "Ninth", "Tenth") &amp; " Floor")</f>
        <v/>
      </c>
      <c r="L93" s="13">
        <f>IF(G93="","",L92+IF(ISNUMBER(E93),E93,0))</f>
        <v/>
      </c>
    </row>
    <row r="94">
      <c r="A94" s="6">
        <f>IF(F94="","",IF(F94=F93,"",F94))</f>
        <v/>
      </c>
      <c r="B94" s="5">
        <f>IF(G94="","",IF(G94=G93,"",G94))</f>
        <v/>
      </c>
      <c r="C94" s="6">
        <f>IF(H94="","",IF(H94=H93,"",H94))</f>
        <v/>
      </c>
      <c r="D94" s="5">
        <f>IF(G94="","", I94 &amp; "-FL" &amp; TEXT(J94, "00"))</f>
        <v/>
      </c>
      <c r="E94" s="12" t="n"/>
      <c r="F94" s="15">
        <f>IF(ROW()-1&gt;SUM(Buildings!$D$2:$D$101), "", INDEX(Buildings!$F$2:$F$101, IFERROR(MATCH(ROW()-1-0.0001, Buildings!$G$2:$G$101, 1), 0)+1))</f>
        <v/>
      </c>
      <c r="G94" s="14">
        <f>IF(ROW()-1&gt;SUM(Buildings!$D$2:$D$101), "", INDEX(Buildings!$B$2:$B$101, IFERROR(MATCH(ROW()-1-0.0001, Buildings!$G$2:$G$101, 1), 0)+1))</f>
        <v/>
      </c>
      <c r="H94" s="15">
        <f>IF(ROW()-1&gt;SUM(Buildings!$D$2:$D$101), "", INDEX(Buildings!$C$2:$C$101, IFERROR(MATCH(ROW()-1-0.0001, Buildings!$G$2:$G$101, 1), 0)+1))</f>
        <v/>
      </c>
      <c r="I94" s="14">
        <f>IF(G94="","",VALUE(SUBSTITUTE(G94,"BLD","")))</f>
        <v/>
      </c>
      <c r="J94" s="14">
        <f>IF(G94="","", (ROW()-1)-IFERROR(INDEX(Buildings!$G$2:$G$101, MATCH(ROW()-1-0.0001, Buildings!$G$2:$G$101, 1)), 0))</f>
        <v/>
      </c>
      <c r="K94" s="15">
        <f>IF(G94="","", CHOOSE(MIN(J94, 10), "First", "Second", "Third", "Fourth", "Fifth", "Sixth", "Seventh", "Eighth", "Ninth", "Tenth") &amp; " Floor")</f>
        <v/>
      </c>
      <c r="L94" s="13">
        <f>IF(G94="","",L93+IF(ISNUMBER(E94),E94,0))</f>
        <v/>
      </c>
    </row>
    <row r="95">
      <c r="A95" s="6">
        <f>IF(F95="","",IF(F95=F94,"",F95))</f>
        <v/>
      </c>
      <c r="B95" s="5">
        <f>IF(G95="","",IF(G95=G94,"",G95))</f>
        <v/>
      </c>
      <c r="C95" s="6">
        <f>IF(H95="","",IF(H95=H94,"",H95))</f>
        <v/>
      </c>
      <c r="D95" s="5">
        <f>IF(G95="","", I95 &amp; "-FL" &amp; TEXT(J95, "00"))</f>
        <v/>
      </c>
      <c r="E95" s="12" t="n"/>
      <c r="F95" s="15">
        <f>IF(ROW()-1&gt;SUM(Buildings!$D$2:$D$101), "", INDEX(Buildings!$F$2:$F$101, IFERROR(MATCH(ROW()-1-0.0001, Buildings!$G$2:$G$101, 1), 0)+1))</f>
        <v/>
      </c>
      <c r="G95" s="14">
        <f>IF(ROW()-1&gt;SUM(Buildings!$D$2:$D$101), "", INDEX(Buildings!$B$2:$B$101, IFERROR(MATCH(ROW()-1-0.0001, Buildings!$G$2:$G$101, 1), 0)+1))</f>
        <v/>
      </c>
      <c r="H95" s="15">
        <f>IF(ROW()-1&gt;SUM(Buildings!$D$2:$D$101), "", INDEX(Buildings!$C$2:$C$101, IFERROR(MATCH(ROW()-1-0.0001, Buildings!$G$2:$G$101, 1), 0)+1))</f>
        <v/>
      </c>
      <c r="I95" s="14">
        <f>IF(G95="","",VALUE(SUBSTITUTE(G95,"BLD","")))</f>
        <v/>
      </c>
      <c r="J95" s="14">
        <f>IF(G95="","", (ROW()-1)-IFERROR(INDEX(Buildings!$G$2:$G$101, MATCH(ROW()-1-0.0001, Buildings!$G$2:$G$101, 1)), 0))</f>
        <v/>
      </c>
      <c r="K95" s="15">
        <f>IF(G95="","", CHOOSE(MIN(J95, 10), "First", "Second", "Third", "Fourth", "Fifth", "Sixth", "Seventh", "Eighth", "Ninth", "Tenth") &amp; " Floor")</f>
        <v/>
      </c>
      <c r="L95" s="13">
        <f>IF(G95="","",L94+IF(ISNUMBER(E95),E95,0))</f>
        <v/>
      </c>
    </row>
    <row r="96">
      <c r="A96" s="6">
        <f>IF(F96="","",IF(F96=F95,"",F96))</f>
        <v/>
      </c>
      <c r="B96" s="5">
        <f>IF(G96="","",IF(G96=G95,"",G96))</f>
        <v/>
      </c>
      <c r="C96" s="6">
        <f>IF(H96="","",IF(H96=H95,"",H96))</f>
        <v/>
      </c>
      <c r="D96" s="5">
        <f>IF(G96="","", I96 &amp; "-FL" &amp; TEXT(J96, "00"))</f>
        <v/>
      </c>
      <c r="E96" s="12" t="n"/>
      <c r="F96" s="15">
        <f>IF(ROW()-1&gt;SUM(Buildings!$D$2:$D$101), "", INDEX(Buildings!$F$2:$F$101, IFERROR(MATCH(ROW()-1-0.0001, Buildings!$G$2:$G$101, 1), 0)+1))</f>
        <v/>
      </c>
      <c r="G96" s="14">
        <f>IF(ROW()-1&gt;SUM(Buildings!$D$2:$D$101), "", INDEX(Buildings!$B$2:$B$101, IFERROR(MATCH(ROW()-1-0.0001, Buildings!$G$2:$G$101, 1), 0)+1))</f>
        <v/>
      </c>
      <c r="H96" s="15">
        <f>IF(ROW()-1&gt;SUM(Buildings!$D$2:$D$101), "", INDEX(Buildings!$C$2:$C$101, IFERROR(MATCH(ROW()-1-0.0001, Buildings!$G$2:$G$101, 1), 0)+1))</f>
        <v/>
      </c>
      <c r="I96" s="14">
        <f>IF(G96="","",VALUE(SUBSTITUTE(G96,"BLD","")))</f>
        <v/>
      </c>
      <c r="J96" s="14">
        <f>IF(G96="","", (ROW()-1)-IFERROR(INDEX(Buildings!$G$2:$G$101, MATCH(ROW()-1-0.0001, Buildings!$G$2:$G$101, 1)), 0))</f>
        <v/>
      </c>
      <c r="K96" s="15">
        <f>IF(G96="","", CHOOSE(MIN(J96, 10), "First", "Second", "Third", "Fourth", "Fifth", "Sixth", "Seventh", "Eighth", "Ninth", "Tenth") &amp; " Floor")</f>
        <v/>
      </c>
      <c r="L96" s="13">
        <f>IF(G96="","",L95+IF(ISNUMBER(E96),E96,0))</f>
        <v/>
      </c>
    </row>
    <row r="97">
      <c r="A97" s="6">
        <f>IF(F97="","",IF(F97=F96,"",F97))</f>
        <v/>
      </c>
      <c r="B97" s="5">
        <f>IF(G97="","",IF(G97=G96,"",G97))</f>
        <v/>
      </c>
      <c r="C97" s="6">
        <f>IF(H97="","",IF(H97=H96,"",H97))</f>
        <v/>
      </c>
      <c r="D97" s="5">
        <f>IF(G97="","", I97 &amp; "-FL" &amp; TEXT(J97, "00"))</f>
        <v/>
      </c>
      <c r="E97" s="12" t="n"/>
      <c r="F97" s="15">
        <f>IF(ROW()-1&gt;SUM(Buildings!$D$2:$D$101), "", INDEX(Buildings!$F$2:$F$101, IFERROR(MATCH(ROW()-1-0.0001, Buildings!$G$2:$G$101, 1), 0)+1))</f>
        <v/>
      </c>
      <c r="G97" s="14">
        <f>IF(ROW()-1&gt;SUM(Buildings!$D$2:$D$101), "", INDEX(Buildings!$B$2:$B$101, IFERROR(MATCH(ROW()-1-0.0001, Buildings!$G$2:$G$101, 1), 0)+1))</f>
        <v/>
      </c>
      <c r="H97" s="15">
        <f>IF(ROW()-1&gt;SUM(Buildings!$D$2:$D$101), "", INDEX(Buildings!$C$2:$C$101, IFERROR(MATCH(ROW()-1-0.0001, Buildings!$G$2:$G$101, 1), 0)+1))</f>
        <v/>
      </c>
      <c r="I97" s="14">
        <f>IF(G97="","",VALUE(SUBSTITUTE(G97,"BLD","")))</f>
        <v/>
      </c>
      <c r="J97" s="14">
        <f>IF(G97="","", (ROW()-1)-IFERROR(INDEX(Buildings!$G$2:$G$101, MATCH(ROW()-1-0.0001, Buildings!$G$2:$G$101, 1)), 0))</f>
        <v/>
      </c>
      <c r="K97" s="15">
        <f>IF(G97="","", CHOOSE(MIN(J97, 10), "First", "Second", "Third", "Fourth", "Fifth", "Sixth", "Seventh", "Eighth", "Ninth", "Tenth") &amp; " Floor")</f>
        <v/>
      </c>
      <c r="L97" s="13">
        <f>IF(G97="","",L96+IF(ISNUMBER(E97),E97,0))</f>
        <v/>
      </c>
    </row>
    <row r="98">
      <c r="A98" s="6">
        <f>IF(F98="","",IF(F98=F97,"",F98))</f>
        <v/>
      </c>
      <c r="B98" s="5">
        <f>IF(G98="","",IF(G98=G97,"",G98))</f>
        <v/>
      </c>
      <c r="C98" s="6">
        <f>IF(H98="","",IF(H98=H97,"",H98))</f>
        <v/>
      </c>
      <c r="D98" s="5">
        <f>IF(G98="","", I98 &amp; "-FL" &amp; TEXT(J98, "00"))</f>
        <v/>
      </c>
      <c r="E98" s="12" t="n"/>
      <c r="F98" s="15">
        <f>IF(ROW()-1&gt;SUM(Buildings!$D$2:$D$101), "", INDEX(Buildings!$F$2:$F$101, IFERROR(MATCH(ROW()-1-0.0001, Buildings!$G$2:$G$101, 1), 0)+1))</f>
        <v/>
      </c>
      <c r="G98" s="14">
        <f>IF(ROW()-1&gt;SUM(Buildings!$D$2:$D$101), "", INDEX(Buildings!$B$2:$B$101, IFERROR(MATCH(ROW()-1-0.0001, Buildings!$G$2:$G$101, 1), 0)+1))</f>
        <v/>
      </c>
      <c r="H98" s="15">
        <f>IF(ROW()-1&gt;SUM(Buildings!$D$2:$D$101), "", INDEX(Buildings!$C$2:$C$101, IFERROR(MATCH(ROW()-1-0.0001, Buildings!$G$2:$G$101, 1), 0)+1))</f>
        <v/>
      </c>
      <c r="I98" s="14">
        <f>IF(G98="","",VALUE(SUBSTITUTE(G98,"BLD","")))</f>
        <v/>
      </c>
      <c r="J98" s="14">
        <f>IF(G98="","", (ROW()-1)-IFERROR(INDEX(Buildings!$G$2:$G$101, MATCH(ROW()-1-0.0001, Buildings!$G$2:$G$101, 1)), 0))</f>
        <v/>
      </c>
      <c r="K98" s="15">
        <f>IF(G98="","", CHOOSE(MIN(J98, 10), "First", "Second", "Third", "Fourth", "Fifth", "Sixth", "Seventh", "Eighth", "Ninth", "Tenth") &amp; " Floor")</f>
        <v/>
      </c>
      <c r="L98" s="13">
        <f>IF(G98="","",L97+IF(ISNUMBER(E98),E98,0))</f>
        <v/>
      </c>
    </row>
    <row r="99">
      <c r="A99" s="6">
        <f>IF(F99="","",IF(F99=F98,"",F99))</f>
        <v/>
      </c>
      <c r="B99" s="5">
        <f>IF(G99="","",IF(G99=G98,"",G99))</f>
        <v/>
      </c>
      <c r="C99" s="6">
        <f>IF(H99="","",IF(H99=H98,"",H99))</f>
        <v/>
      </c>
      <c r="D99" s="5">
        <f>IF(G99="","", I99 &amp; "-FL" &amp; TEXT(J99, "00"))</f>
        <v/>
      </c>
      <c r="E99" s="12" t="n"/>
      <c r="F99" s="15">
        <f>IF(ROW()-1&gt;SUM(Buildings!$D$2:$D$101), "", INDEX(Buildings!$F$2:$F$101, IFERROR(MATCH(ROW()-1-0.0001, Buildings!$G$2:$G$101, 1), 0)+1))</f>
        <v/>
      </c>
      <c r="G99" s="14">
        <f>IF(ROW()-1&gt;SUM(Buildings!$D$2:$D$101), "", INDEX(Buildings!$B$2:$B$101, IFERROR(MATCH(ROW()-1-0.0001, Buildings!$G$2:$G$101, 1), 0)+1))</f>
        <v/>
      </c>
      <c r="H99" s="15">
        <f>IF(ROW()-1&gt;SUM(Buildings!$D$2:$D$101), "", INDEX(Buildings!$C$2:$C$101, IFERROR(MATCH(ROW()-1-0.0001, Buildings!$G$2:$G$101, 1), 0)+1))</f>
        <v/>
      </c>
      <c r="I99" s="14">
        <f>IF(G99="","",VALUE(SUBSTITUTE(G99,"BLD","")))</f>
        <v/>
      </c>
      <c r="J99" s="14">
        <f>IF(G99="","", (ROW()-1)-IFERROR(INDEX(Buildings!$G$2:$G$101, MATCH(ROW()-1-0.0001, Buildings!$G$2:$G$101, 1)), 0))</f>
        <v/>
      </c>
      <c r="K99" s="15">
        <f>IF(G99="","", CHOOSE(MIN(J99, 10), "First", "Second", "Third", "Fourth", "Fifth", "Sixth", "Seventh", "Eighth", "Ninth", "Tenth") &amp; " Floor")</f>
        <v/>
      </c>
      <c r="L99" s="13">
        <f>IF(G99="","",L98+IF(ISNUMBER(E99),E99,0))</f>
        <v/>
      </c>
    </row>
    <row r="100">
      <c r="A100" s="6">
        <f>IF(F100="","",IF(F100=F99,"",F100))</f>
        <v/>
      </c>
      <c r="B100" s="5">
        <f>IF(G100="","",IF(G100=G99,"",G100))</f>
        <v/>
      </c>
      <c r="C100" s="6">
        <f>IF(H100="","",IF(H100=H99,"",H100))</f>
        <v/>
      </c>
      <c r="D100" s="5">
        <f>IF(G100="","", I100 &amp; "-FL" &amp; TEXT(J100, "00"))</f>
        <v/>
      </c>
      <c r="E100" s="12" t="n"/>
      <c r="F100" s="15">
        <f>IF(ROW()-1&gt;SUM(Buildings!$D$2:$D$101), "", INDEX(Buildings!$F$2:$F$101, IFERROR(MATCH(ROW()-1-0.0001, Buildings!$G$2:$G$101, 1), 0)+1))</f>
        <v/>
      </c>
      <c r="G100" s="14">
        <f>IF(ROW()-1&gt;SUM(Buildings!$D$2:$D$101), "", INDEX(Buildings!$B$2:$B$101, IFERROR(MATCH(ROW()-1-0.0001, Buildings!$G$2:$G$101, 1), 0)+1))</f>
        <v/>
      </c>
      <c r="H100" s="15">
        <f>IF(ROW()-1&gt;SUM(Buildings!$D$2:$D$101), "", INDEX(Buildings!$C$2:$C$101, IFERROR(MATCH(ROW()-1-0.0001, Buildings!$G$2:$G$101, 1), 0)+1))</f>
        <v/>
      </c>
      <c r="I100" s="14">
        <f>IF(G100="","",VALUE(SUBSTITUTE(G100,"BLD","")))</f>
        <v/>
      </c>
      <c r="J100" s="14">
        <f>IF(G100="","", (ROW()-1)-IFERROR(INDEX(Buildings!$G$2:$G$101, MATCH(ROW()-1-0.0001, Buildings!$G$2:$G$101, 1)), 0))</f>
        <v/>
      </c>
      <c r="K100" s="15">
        <f>IF(G100="","", CHOOSE(MIN(J100, 10), "First", "Second", "Third", "Fourth", "Fifth", "Sixth", "Seventh", "Eighth", "Ninth", "Tenth") &amp; " Floor")</f>
        <v/>
      </c>
      <c r="L100" s="13">
        <f>IF(G100="","",L99+IF(ISNUMBER(E100),E100,0))</f>
        <v/>
      </c>
    </row>
    <row r="101">
      <c r="A101" s="6">
        <f>IF(F101="","",IF(F101=F100,"",F101))</f>
        <v/>
      </c>
      <c r="B101" s="5">
        <f>IF(G101="","",IF(G101=G100,"",G101))</f>
        <v/>
      </c>
      <c r="C101" s="6">
        <f>IF(H101="","",IF(H101=H100,"",H101))</f>
        <v/>
      </c>
      <c r="D101" s="5">
        <f>IF(G101="","", I101 &amp; "-FL" &amp; TEXT(J101, "00"))</f>
        <v/>
      </c>
      <c r="E101" s="12" t="n"/>
      <c r="F101" s="15">
        <f>IF(ROW()-1&gt;SUM(Buildings!$D$2:$D$101), "", INDEX(Buildings!$F$2:$F$101, IFERROR(MATCH(ROW()-1-0.0001, Buildings!$G$2:$G$101, 1), 0)+1))</f>
        <v/>
      </c>
      <c r="G101" s="14">
        <f>IF(ROW()-1&gt;SUM(Buildings!$D$2:$D$101), "", INDEX(Buildings!$B$2:$B$101, IFERROR(MATCH(ROW()-1-0.0001, Buildings!$G$2:$G$101, 1), 0)+1))</f>
        <v/>
      </c>
      <c r="H101" s="15">
        <f>IF(ROW()-1&gt;SUM(Buildings!$D$2:$D$101), "", INDEX(Buildings!$C$2:$C$101, IFERROR(MATCH(ROW()-1-0.0001, Buildings!$G$2:$G$101, 1), 0)+1))</f>
        <v/>
      </c>
      <c r="I101" s="14">
        <f>IF(G101="","",VALUE(SUBSTITUTE(G101,"BLD","")))</f>
        <v/>
      </c>
      <c r="J101" s="14">
        <f>IF(G101="","", (ROW()-1)-IFERROR(INDEX(Buildings!$G$2:$G$101, MATCH(ROW()-1-0.0001, Buildings!$G$2:$G$101, 1)), 0))</f>
        <v/>
      </c>
      <c r="K101" s="15">
        <f>IF(G101="","", CHOOSE(MIN(J101, 10), "First", "Second", "Third", "Fourth", "Fifth", "Sixth", "Seventh", "Eighth", "Ninth", "Tenth") &amp; " Floor")</f>
        <v/>
      </c>
      <c r="L101" s="13">
        <f>IF(G101="","",L100+IF(ISNUMBER(E101),E101,0))</f>
        <v/>
      </c>
    </row>
    <row r="102">
      <c r="A102" s="6">
        <f>IF(F102="","",IF(F102=F101,"",F102))</f>
        <v/>
      </c>
      <c r="B102" s="5">
        <f>IF(G102="","",IF(G102=G101,"",G102))</f>
        <v/>
      </c>
      <c r="C102" s="6">
        <f>IF(H102="","",IF(H102=H101,"",H102))</f>
        <v/>
      </c>
      <c r="D102" s="5">
        <f>IF(G102="","", I102 &amp; "-FL" &amp; TEXT(J102, "00"))</f>
        <v/>
      </c>
      <c r="E102" s="12" t="n"/>
      <c r="F102" s="15">
        <f>IF(ROW()-1&gt;SUM(Buildings!$D$2:$D$101), "", INDEX(Buildings!$F$2:$F$101, IFERROR(MATCH(ROW()-1-0.0001, Buildings!$G$2:$G$101, 1), 0)+1))</f>
        <v/>
      </c>
      <c r="G102" s="14">
        <f>IF(ROW()-1&gt;SUM(Buildings!$D$2:$D$101), "", INDEX(Buildings!$B$2:$B$101, IFERROR(MATCH(ROW()-1-0.0001, Buildings!$G$2:$G$101, 1), 0)+1))</f>
        <v/>
      </c>
      <c r="H102" s="15">
        <f>IF(ROW()-1&gt;SUM(Buildings!$D$2:$D$101), "", INDEX(Buildings!$C$2:$C$101, IFERROR(MATCH(ROW()-1-0.0001, Buildings!$G$2:$G$101, 1), 0)+1))</f>
        <v/>
      </c>
      <c r="I102" s="14">
        <f>IF(G102="","",VALUE(SUBSTITUTE(G102,"BLD","")))</f>
        <v/>
      </c>
      <c r="J102" s="14">
        <f>IF(G102="","", (ROW()-1)-IFERROR(INDEX(Buildings!$G$2:$G$101, MATCH(ROW()-1-0.0001, Buildings!$G$2:$G$101, 1)), 0))</f>
        <v/>
      </c>
      <c r="K102" s="15">
        <f>IF(G102="","", CHOOSE(MIN(J102, 10), "First", "Second", "Third", "Fourth", "Fifth", "Sixth", "Seventh", "Eighth", "Ninth", "Tenth") &amp; " Floor")</f>
        <v/>
      </c>
      <c r="L102" s="13">
        <f>IF(G102="","",L101+IF(ISNUMBER(E102),E102,0))</f>
        <v/>
      </c>
    </row>
    <row r="103">
      <c r="A103" s="6">
        <f>IF(F103="","",IF(F103=F102,"",F103))</f>
        <v/>
      </c>
      <c r="B103" s="5">
        <f>IF(G103="","",IF(G103=G102,"",G103))</f>
        <v/>
      </c>
      <c r="C103" s="6">
        <f>IF(H103="","",IF(H103=H102,"",H103))</f>
        <v/>
      </c>
      <c r="D103" s="5">
        <f>IF(G103="","", I103 &amp; "-FL" &amp; TEXT(J103, "00"))</f>
        <v/>
      </c>
      <c r="E103" s="12" t="n"/>
      <c r="F103" s="15">
        <f>IF(ROW()-1&gt;SUM(Buildings!$D$2:$D$101), "", INDEX(Buildings!$F$2:$F$101, IFERROR(MATCH(ROW()-1-0.0001, Buildings!$G$2:$G$101, 1), 0)+1))</f>
        <v/>
      </c>
      <c r="G103" s="14">
        <f>IF(ROW()-1&gt;SUM(Buildings!$D$2:$D$101), "", INDEX(Buildings!$B$2:$B$101, IFERROR(MATCH(ROW()-1-0.0001, Buildings!$G$2:$G$101, 1), 0)+1))</f>
        <v/>
      </c>
      <c r="H103" s="15">
        <f>IF(ROW()-1&gt;SUM(Buildings!$D$2:$D$101), "", INDEX(Buildings!$C$2:$C$101, IFERROR(MATCH(ROW()-1-0.0001, Buildings!$G$2:$G$101, 1), 0)+1))</f>
        <v/>
      </c>
      <c r="I103" s="14">
        <f>IF(G103="","",VALUE(SUBSTITUTE(G103,"BLD","")))</f>
        <v/>
      </c>
      <c r="J103" s="14">
        <f>IF(G103="","", (ROW()-1)-IFERROR(INDEX(Buildings!$G$2:$G$101, MATCH(ROW()-1-0.0001, Buildings!$G$2:$G$101, 1)), 0))</f>
        <v/>
      </c>
      <c r="K103" s="15">
        <f>IF(G103="","", CHOOSE(MIN(J103, 10), "First", "Second", "Third", "Fourth", "Fifth", "Sixth", "Seventh", "Eighth", "Ninth", "Tenth") &amp; " Floor")</f>
        <v/>
      </c>
      <c r="L103" s="13">
        <f>IF(G103="","",L102+IF(ISNUMBER(E103),E103,0))</f>
        <v/>
      </c>
    </row>
    <row r="104">
      <c r="A104" s="6">
        <f>IF(F104="","",IF(F104=F103,"",F104))</f>
        <v/>
      </c>
      <c r="B104" s="5">
        <f>IF(G104="","",IF(G104=G103,"",G104))</f>
        <v/>
      </c>
      <c r="C104" s="6">
        <f>IF(H104="","",IF(H104=H103,"",H104))</f>
        <v/>
      </c>
      <c r="D104" s="5">
        <f>IF(G104="","", I104 &amp; "-FL" &amp; TEXT(J104, "00"))</f>
        <v/>
      </c>
      <c r="E104" s="12" t="n"/>
      <c r="F104" s="15">
        <f>IF(ROW()-1&gt;SUM(Buildings!$D$2:$D$101), "", INDEX(Buildings!$F$2:$F$101, IFERROR(MATCH(ROW()-1-0.0001, Buildings!$G$2:$G$101, 1), 0)+1))</f>
        <v/>
      </c>
      <c r="G104" s="14">
        <f>IF(ROW()-1&gt;SUM(Buildings!$D$2:$D$101), "", INDEX(Buildings!$B$2:$B$101, IFERROR(MATCH(ROW()-1-0.0001, Buildings!$G$2:$G$101, 1), 0)+1))</f>
        <v/>
      </c>
      <c r="H104" s="15">
        <f>IF(ROW()-1&gt;SUM(Buildings!$D$2:$D$101), "", INDEX(Buildings!$C$2:$C$101, IFERROR(MATCH(ROW()-1-0.0001, Buildings!$G$2:$G$101, 1), 0)+1))</f>
        <v/>
      </c>
      <c r="I104" s="14">
        <f>IF(G104="","",VALUE(SUBSTITUTE(G104,"BLD","")))</f>
        <v/>
      </c>
      <c r="J104" s="14">
        <f>IF(G104="","", (ROW()-1)-IFERROR(INDEX(Buildings!$G$2:$G$101, MATCH(ROW()-1-0.0001, Buildings!$G$2:$G$101, 1)), 0))</f>
        <v/>
      </c>
      <c r="K104" s="15">
        <f>IF(G104="","", CHOOSE(MIN(J104, 10), "First", "Second", "Third", "Fourth", "Fifth", "Sixth", "Seventh", "Eighth", "Ninth", "Tenth") &amp; " Floor")</f>
        <v/>
      </c>
      <c r="L104" s="13">
        <f>IF(G104="","",L103+IF(ISNUMBER(E104),E104,0))</f>
        <v/>
      </c>
    </row>
    <row r="105">
      <c r="A105" s="6">
        <f>IF(F105="","",IF(F105=F104,"",F105))</f>
        <v/>
      </c>
      <c r="B105" s="5">
        <f>IF(G105="","",IF(G105=G104,"",G105))</f>
        <v/>
      </c>
      <c r="C105" s="6">
        <f>IF(H105="","",IF(H105=H104,"",H105))</f>
        <v/>
      </c>
      <c r="D105" s="5">
        <f>IF(G105="","", I105 &amp; "-FL" &amp; TEXT(J105, "00"))</f>
        <v/>
      </c>
      <c r="E105" s="12" t="n"/>
      <c r="F105" s="15">
        <f>IF(ROW()-1&gt;SUM(Buildings!$D$2:$D$101), "", INDEX(Buildings!$F$2:$F$101, IFERROR(MATCH(ROW()-1-0.0001, Buildings!$G$2:$G$101, 1), 0)+1))</f>
        <v/>
      </c>
      <c r="G105" s="14">
        <f>IF(ROW()-1&gt;SUM(Buildings!$D$2:$D$101), "", INDEX(Buildings!$B$2:$B$101, IFERROR(MATCH(ROW()-1-0.0001, Buildings!$G$2:$G$101, 1), 0)+1))</f>
        <v/>
      </c>
      <c r="H105" s="15">
        <f>IF(ROW()-1&gt;SUM(Buildings!$D$2:$D$101), "", INDEX(Buildings!$C$2:$C$101, IFERROR(MATCH(ROW()-1-0.0001, Buildings!$G$2:$G$101, 1), 0)+1))</f>
        <v/>
      </c>
      <c r="I105" s="14">
        <f>IF(G105="","",VALUE(SUBSTITUTE(G105,"BLD","")))</f>
        <v/>
      </c>
      <c r="J105" s="14">
        <f>IF(G105="","", (ROW()-1)-IFERROR(INDEX(Buildings!$G$2:$G$101, MATCH(ROW()-1-0.0001, Buildings!$G$2:$G$101, 1)), 0))</f>
        <v/>
      </c>
      <c r="K105" s="15">
        <f>IF(G105="","", CHOOSE(MIN(J105, 10), "First", "Second", "Third", "Fourth", "Fifth", "Sixth", "Seventh", "Eighth", "Ninth", "Tenth") &amp; " Floor")</f>
        <v/>
      </c>
      <c r="L105" s="13">
        <f>IF(G105="","",L104+IF(ISNUMBER(E105),E105,0))</f>
        <v/>
      </c>
    </row>
    <row r="106">
      <c r="A106" s="6">
        <f>IF(F106="","",IF(F106=F105,"",F106))</f>
        <v/>
      </c>
      <c r="B106" s="5">
        <f>IF(G106="","",IF(G106=G105,"",G106))</f>
        <v/>
      </c>
      <c r="C106" s="6">
        <f>IF(H106="","",IF(H106=H105,"",H106))</f>
        <v/>
      </c>
      <c r="D106" s="5">
        <f>IF(G106="","", I106 &amp; "-FL" &amp; TEXT(J106, "00"))</f>
        <v/>
      </c>
      <c r="E106" s="12" t="n"/>
      <c r="F106" s="15">
        <f>IF(ROW()-1&gt;SUM(Buildings!$D$2:$D$101), "", INDEX(Buildings!$F$2:$F$101, IFERROR(MATCH(ROW()-1-0.0001, Buildings!$G$2:$G$101, 1), 0)+1))</f>
        <v/>
      </c>
      <c r="G106" s="14">
        <f>IF(ROW()-1&gt;SUM(Buildings!$D$2:$D$101), "", INDEX(Buildings!$B$2:$B$101, IFERROR(MATCH(ROW()-1-0.0001, Buildings!$G$2:$G$101, 1), 0)+1))</f>
        <v/>
      </c>
      <c r="H106" s="15">
        <f>IF(ROW()-1&gt;SUM(Buildings!$D$2:$D$101), "", INDEX(Buildings!$C$2:$C$101, IFERROR(MATCH(ROW()-1-0.0001, Buildings!$G$2:$G$101, 1), 0)+1))</f>
        <v/>
      </c>
      <c r="I106" s="14">
        <f>IF(G106="","",VALUE(SUBSTITUTE(G106,"BLD","")))</f>
        <v/>
      </c>
      <c r="J106" s="14">
        <f>IF(G106="","", (ROW()-1)-IFERROR(INDEX(Buildings!$G$2:$G$101, MATCH(ROW()-1-0.0001, Buildings!$G$2:$G$101, 1)), 0))</f>
        <v/>
      </c>
      <c r="K106" s="15">
        <f>IF(G106="","", CHOOSE(MIN(J106, 10), "First", "Second", "Third", "Fourth", "Fifth", "Sixth", "Seventh", "Eighth", "Ninth", "Tenth") &amp; " Floor")</f>
        <v/>
      </c>
      <c r="L106" s="13">
        <f>IF(G106="","",L105+IF(ISNUMBER(E106),E106,0))</f>
        <v/>
      </c>
    </row>
    <row r="107">
      <c r="A107" s="6">
        <f>IF(F107="","",IF(F107=F106,"",F107))</f>
        <v/>
      </c>
      <c r="B107" s="5">
        <f>IF(G107="","",IF(G107=G106,"",G107))</f>
        <v/>
      </c>
      <c r="C107" s="6">
        <f>IF(H107="","",IF(H107=H106,"",H107))</f>
        <v/>
      </c>
      <c r="D107" s="5">
        <f>IF(G107="","", I107 &amp; "-FL" &amp; TEXT(J107, "00"))</f>
        <v/>
      </c>
      <c r="E107" s="12" t="n"/>
      <c r="F107" s="15">
        <f>IF(ROW()-1&gt;SUM(Buildings!$D$2:$D$101), "", INDEX(Buildings!$F$2:$F$101, IFERROR(MATCH(ROW()-1-0.0001, Buildings!$G$2:$G$101, 1), 0)+1))</f>
        <v/>
      </c>
      <c r="G107" s="14">
        <f>IF(ROW()-1&gt;SUM(Buildings!$D$2:$D$101), "", INDEX(Buildings!$B$2:$B$101, IFERROR(MATCH(ROW()-1-0.0001, Buildings!$G$2:$G$101, 1), 0)+1))</f>
        <v/>
      </c>
      <c r="H107" s="15">
        <f>IF(ROW()-1&gt;SUM(Buildings!$D$2:$D$101), "", INDEX(Buildings!$C$2:$C$101, IFERROR(MATCH(ROW()-1-0.0001, Buildings!$G$2:$G$101, 1), 0)+1))</f>
        <v/>
      </c>
      <c r="I107" s="14">
        <f>IF(G107="","",VALUE(SUBSTITUTE(G107,"BLD","")))</f>
        <v/>
      </c>
      <c r="J107" s="14">
        <f>IF(G107="","", (ROW()-1)-IFERROR(INDEX(Buildings!$G$2:$G$101, MATCH(ROW()-1-0.0001, Buildings!$G$2:$G$101, 1)), 0))</f>
        <v/>
      </c>
      <c r="K107" s="15">
        <f>IF(G107="","", CHOOSE(MIN(J107, 10), "First", "Second", "Third", "Fourth", "Fifth", "Sixth", "Seventh", "Eighth", "Ninth", "Tenth") &amp; " Floor")</f>
        <v/>
      </c>
      <c r="L107" s="13">
        <f>IF(G107="","",L106+IF(ISNUMBER(E107),E107,0))</f>
        <v/>
      </c>
    </row>
    <row r="108">
      <c r="A108" s="6">
        <f>IF(F108="","",IF(F108=F107,"",F108))</f>
        <v/>
      </c>
      <c r="B108" s="5">
        <f>IF(G108="","",IF(G108=G107,"",G108))</f>
        <v/>
      </c>
      <c r="C108" s="6">
        <f>IF(H108="","",IF(H108=H107,"",H108))</f>
        <v/>
      </c>
      <c r="D108" s="5">
        <f>IF(G108="","", I108 &amp; "-FL" &amp; TEXT(J108, "00"))</f>
        <v/>
      </c>
      <c r="E108" s="12" t="n"/>
      <c r="F108" s="15">
        <f>IF(ROW()-1&gt;SUM(Buildings!$D$2:$D$101), "", INDEX(Buildings!$F$2:$F$101, IFERROR(MATCH(ROW()-1-0.0001, Buildings!$G$2:$G$101, 1), 0)+1))</f>
        <v/>
      </c>
      <c r="G108" s="14">
        <f>IF(ROW()-1&gt;SUM(Buildings!$D$2:$D$101), "", INDEX(Buildings!$B$2:$B$101, IFERROR(MATCH(ROW()-1-0.0001, Buildings!$G$2:$G$101, 1), 0)+1))</f>
        <v/>
      </c>
      <c r="H108" s="15">
        <f>IF(ROW()-1&gt;SUM(Buildings!$D$2:$D$101), "", INDEX(Buildings!$C$2:$C$101, IFERROR(MATCH(ROW()-1-0.0001, Buildings!$G$2:$G$101, 1), 0)+1))</f>
        <v/>
      </c>
      <c r="I108" s="14">
        <f>IF(G108="","",VALUE(SUBSTITUTE(G108,"BLD","")))</f>
        <v/>
      </c>
      <c r="J108" s="14">
        <f>IF(G108="","", (ROW()-1)-IFERROR(INDEX(Buildings!$G$2:$G$101, MATCH(ROW()-1-0.0001, Buildings!$G$2:$G$101, 1)), 0))</f>
        <v/>
      </c>
      <c r="K108" s="15">
        <f>IF(G108="","", CHOOSE(MIN(J108, 10), "First", "Second", "Third", "Fourth", "Fifth", "Sixth", "Seventh", "Eighth", "Ninth", "Tenth") &amp; " Floor")</f>
        <v/>
      </c>
      <c r="L108" s="13">
        <f>IF(G108="","",L107+IF(ISNUMBER(E108),E108,0))</f>
        <v/>
      </c>
    </row>
    <row r="109">
      <c r="A109" s="6">
        <f>IF(F109="","",IF(F109=F108,"",F109))</f>
        <v/>
      </c>
      <c r="B109" s="5">
        <f>IF(G109="","",IF(G109=G108,"",G109))</f>
        <v/>
      </c>
      <c r="C109" s="6">
        <f>IF(H109="","",IF(H109=H108,"",H109))</f>
        <v/>
      </c>
      <c r="D109" s="5">
        <f>IF(G109="","", I109 &amp; "-FL" &amp; TEXT(J109, "00"))</f>
        <v/>
      </c>
      <c r="E109" s="12" t="n"/>
      <c r="F109" s="15">
        <f>IF(ROW()-1&gt;SUM(Buildings!$D$2:$D$101), "", INDEX(Buildings!$F$2:$F$101, IFERROR(MATCH(ROW()-1-0.0001, Buildings!$G$2:$G$101, 1), 0)+1))</f>
        <v/>
      </c>
      <c r="G109" s="14">
        <f>IF(ROW()-1&gt;SUM(Buildings!$D$2:$D$101), "", INDEX(Buildings!$B$2:$B$101, IFERROR(MATCH(ROW()-1-0.0001, Buildings!$G$2:$G$101, 1), 0)+1))</f>
        <v/>
      </c>
      <c r="H109" s="15">
        <f>IF(ROW()-1&gt;SUM(Buildings!$D$2:$D$101), "", INDEX(Buildings!$C$2:$C$101, IFERROR(MATCH(ROW()-1-0.0001, Buildings!$G$2:$G$101, 1), 0)+1))</f>
        <v/>
      </c>
      <c r="I109" s="14">
        <f>IF(G109="","",VALUE(SUBSTITUTE(G109,"BLD","")))</f>
        <v/>
      </c>
      <c r="J109" s="14">
        <f>IF(G109="","", (ROW()-1)-IFERROR(INDEX(Buildings!$G$2:$G$101, MATCH(ROW()-1-0.0001, Buildings!$G$2:$G$101, 1)), 0))</f>
        <v/>
      </c>
      <c r="K109" s="15">
        <f>IF(G109="","", CHOOSE(MIN(J109, 10), "First", "Second", "Third", "Fourth", "Fifth", "Sixth", "Seventh", "Eighth", "Ninth", "Tenth") &amp; " Floor")</f>
        <v/>
      </c>
      <c r="L109" s="13">
        <f>IF(G109="","",L108+IF(ISNUMBER(E109),E109,0))</f>
        <v/>
      </c>
    </row>
    <row r="110">
      <c r="A110" s="6">
        <f>IF(F110="","",IF(F110=F109,"",F110))</f>
        <v/>
      </c>
      <c r="B110" s="5">
        <f>IF(G110="","",IF(G110=G109,"",G110))</f>
        <v/>
      </c>
      <c r="C110" s="6">
        <f>IF(H110="","",IF(H110=H109,"",H110))</f>
        <v/>
      </c>
      <c r="D110" s="5">
        <f>IF(G110="","", I110 &amp; "-FL" &amp; TEXT(J110, "00"))</f>
        <v/>
      </c>
      <c r="E110" s="12" t="n"/>
      <c r="F110" s="15">
        <f>IF(ROW()-1&gt;SUM(Buildings!$D$2:$D$101), "", INDEX(Buildings!$F$2:$F$101, IFERROR(MATCH(ROW()-1-0.0001, Buildings!$G$2:$G$101, 1), 0)+1))</f>
        <v/>
      </c>
      <c r="G110" s="14">
        <f>IF(ROW()-1&gt;SUM(Buildings!$D$2:$D$101), "", INDEX(Buildings!$B$2:$B$101, IFERROR(MATCH(ROW()-1-0.0001, Buildings!$G$2:$G$101, 1), 0)+1))</f>
        <v/>
      </c>
      <c r="H110" s="15">
        <f>IF(ROW()-1&gt;SUM(Buildings!$D$2:$D$101), "", INDEX(Buildings!$C$2:$C$101, IFERROR(MATCH(ROW()-1-0.0001, Buildings!$G$2:$G$101, 1), 0)+1))</f>
        <v/>
      </c>
      <c r="I110" s="14">
        <f>IF(G110="","",VALUE(SUBSTITUTE(G110,"BLD","")))</f>
        <v/>
      </c>
      <c r="J110" s="14">
        <f>IF(G110="","", (ROW()-1)-IFERROR(INDEX(Buildings!$G$2:$G$101, MATCH(ROW()-1-0.0001, Buildings!$G$2:$G$101, 1)), 0))</f>
        <v/>
      </c>
      <c r="K110" s="15">
        <f>IF(G110="","", CHOOSE(MIN(J110, 10), "First", "Second", "Third", "Fourth", "Fifth", "Sixth", "Seventh", "Eighth", "Ninth", "Tenth") &amp; " Floor")</f>
        <v/>
      </c>
      <c r="L110" s="13">
        <f>IF(G110="","",L109+IF(ISNUMBER(E110),E110,0))</f>
        <v/>
      </c>
    </row>
    <row r="111">
      <c r="A111" s="6">
        <f>IF(F111="","",IF(F111=F110,"",F111))</f>
        <v/>
      </c>
      <c r="B111" s="5">
        <f>IF(G111="","",IF(G111=G110,"",G111))</f>
        <v/>
      </c>
      <c r="C111" s="6">
        <f>IF(H111="","",IF(H111=H110,"",H111))</f>
        <v/>
      </c>
      <c r="D111" s="5">
        <f>IF(G111="","", I111 &amp; "-FL" &amp; TEXT(J111, "00"))</f>
        <v/>
      </c>
      <c r="E111" s="12" t="n"/>
      <c r="F111" s="15">
        <f>IF(ROW()-1&gt;SUM(Buildings!$D$2:$D$101), "", INDEX(Buildings!$F$2:$F$101, IFERROR(MATCH(ROW()-1-0.0001, Buildings!$G$2:$G$101, 1), 0)+1))</f>
        <v/>
      </c>
      <c r="G111" s="14">
        <f>IF(ROW()-1&gt;SUM(Buildings!$D$2:$D$101), "", INDEX(Buildings!$B$2:$B$101, IFERROR(MATCH(ROW()-1-0.0001, Buildings!$G$2:$G$101, 1), 0)+1))</f>
        <v/>
      </c>
      <c r="H111" s="15">
        <f>IF(ROW()-1&gt;SUM(Buildings!$D$2:$D$101), "", INDEX(Buildings!$C$2:$C$101, IFERROR(MATCH(ROW()-1-0.0001, Buildings!$G$2:$G$101, 1), 0)+1))</f>
        <v/>
      </c>
      <c r="I111" s="14">
        <f>IF(G111="","",VALUE(SUBSTITUTE(G111,"BLD","")))</f>
        <v/>
      </c>
      <c r="J111" s="14">
        <f>IF(G111="","", (ROW()-1)-IFERROR(INDEX(Buildings!$G$2:$G$101, MATCH(ROW()-1-0.0001, Buildings!$G$2:$G$101, 1)), 0))</f>
        <v/>
      </c>
      <c r="K111" s="15">
        <f>IF(G111="","", CHOOSE(MIN(J111, 10), "First", "Second", "Third", "Fourth", "Fifth", "Sixth", "Seventh", "Eighth", "Ninth", "Tenth") &amp; " Floor")</f>
        <v/>
      </c>
      <c r="L111" s="13">
        <f>IF(G111="","",L110+IF(ISNUMBER(E111),E111,0))</f>
        <v/>
      </c>
    </row>
    <row r="112">
      <c r="A112" s="6">
        <f>IF(F112="","",IF(F112=F111,"",F112))</f>
        <v/>
      </c>
      <c r="B112" s="5">
        <f>IF(G112="","",IF(G112=G111,"",G112))</f>
        <v/>
      </c>
      <c r="C112" s="6">
        <f>IF(H112="","",IF(H112=H111,"",H112))</f>
        <v/>
      </c>
      <c r="D112" s="5">
        <f>IF(G112="","", I112 &amp; "-FL" &amp; TEXT(J112, "00"))</f>
        <v/>
      </c>
      <c r="E112" s="12" t="n"/>
      <c r="F112" s="15">
        <f>IF(ROW()-1&gt;SUM(Buildings!$D$2:$D$101), "", INDEX(Buildings!$F$2:$F$101, IFERROR(MATCH(ROW()-1-0.0001, Buildings!$G$2:$G$101, 1), 0)+1))</f>
        <v/>
      </c>
      <c r="G112" s="14">
        <f>IF(ROW()-1&gt;SUM(Buildings!$D$2:$D$101), "", INDEX(Buildings!$B$2:$B$101, IFERROR(MATCH(ROW()-1-0.0001, Buildings!$G$2:$G$101, 1), 0)+1))</f>
        <v/>
      </c>
      <c r="H112" s="15">
        <f>IF(ROW()-1&gt;SUM(Buildings!$D$2:$D$101), "", INDEX(Buildings!$C$2:$C$101, IFERROR(MATCH(ROW()-1-0.0001, Buildings!$G$2:$G$101, 1), 0)+1))</f>
        <v/>
      </c>
      <c r="I112" s="14">
        <f>IF(G112="","",VALUE(SUBSTITUTE(G112,"BLD","")))</f>
        <v/>
      </c>
      <c r="J112" s="14">
        <f>IF(G112="","", (ROW()-1)-IFERROR(INDEX(Buildings!$G$2:$G$101, MATCH(ROW()-1-0.0001, Buildings!$G$2:$G$101, 1)), 0))</f>
        <v/>
      </c>
      <c r="K112" s="15">
        <f>IF(G112="","", CHOOSE(MIN(J112, 10), "First", "Second", "Third", "Fourth", "Fifth", "Sixth", "Seventh", "Eighth", "Ninth", "Tenth") &amp; " Floor")</f>
        <v/>
      </c>
      <c r="L112" s="13">
        <f>IF(G112="","",L111+IF(ISNUMBER(E112),E112,0))</f>
        <v/>
      </c>
    </row>
    <row r="113">
      <c r="A113" s="6">
        <f>IF(F113="","",IF(F113=F112,"",F113))</f>
        <v/>
      </c>
      <c r="B113" s="5">
        <f>IF(G113="","",IF(G113=G112,"",G113))</f>
        <v/>
      </c>
      <c r="C113" s="6">
        <f>IF(H113="","",IF(H113=H112,"",H113))</f>
        <v/>
      </c>
      <c r="D113" s="5">
        <f>IF(G113="","", I113 &amp; "-FL" &amp; TEXT(J113, "00"))</f>
        <v/>
      </c>
      <c r="E113" s="12" t="n"/>
      <c r="F113" s="15">
        <f>IF(ROW()-1&gt;SUM(Buildings!$D$2:$D$101), "", INDEX(Buildings!$F$2:$F$101, IFERROR(MATCH(ROW()-1-0.0001, Buildings!$G$2:$G$101, 1), 0)+1))</f>
        <v/>
      </c>
      <c r="G113" s="14">
        <f>IF(ROW()-1&gt;SUM(Buildings!$D$2:$D$101), "", INDEX(Buildings!$B$2:$B$101, IFERROR(MATCH(ROW()-1-0.0001, Buildings!$G$2:$G$101, 1), 0)+1))</f>
        <v/>
      </c>
      <c r="H113" s="15">
        <f>IF(ROW()-1&gt;SUM(Buildings!$D$2:$D$101), "", INDEX(Buildings!$C$2:$C$101, IFERROR(MATCH(ROW()-1-0.0001, Buildings!$G$2:$G$101, 1), 0)+1))</f>
        <v/>
      </c>
      <c r="I113" s="14">
        <f>IF(G113="","",VALUE(SUBSTITUTE(G113,"BLD","")))</f>
        <v/>
      </c>
      <c r="J113" s="14">
        <f>IF(G113="","", (ROW()-1)-IFERROR(INDEX(Buildings!$G$2:$G$101, MATCH(ROW()-1-0.0001, Buildings!$G$2:$G$101, 1)), 0))</f>
        <v/>
      </c>
      <c r="K113" s="15">
        <f>IF(G113="","", CHOOSE(MIN(J113, 10), "First", "Second", "Third", "Fourth", "Fifth", "Sixth", "Seventh", "Eighth", "Ninth", "Tenth") &amp; " Floor")</f>
        <v/>
      </c>
      <c r="L113" s="13">
        <f>IF(G113="","",L112+IF(ISNUMBER(E113),E113,0))</f>
        <v/>
      </c>
    </row>
    <row r="114">
      <c r="A114" s="6">
        <f>IF(F114="","",IF(F114=F113,"",F114))</f>
        <v/>
      </c>
      <c r="B114" s="5">
        <f>IF(G114="","",IF(G114=G113,"",G114))</f>
        <v/>
      </c>
      <c r="C114" s="6">
        <f>IF(H114="","",IF(H114=H113,"",H114))</f>
        <v/>
      </c>
      <c r="D114" s="5">
        <f>IF(G114="","", I114 &amp; "-FL" &amp; TEXT(J114, "00"))</f>
        <v/>
      </c>
      <c r="E114" s="12" t="n"/>
      <c r="F114" s="15">
        <f>IF(ROW()-1&gt;SUM(Buildings!$D$2:$D$101), "", INDEX(Buildings!$F$2:$F$101, IFERROR(MATCH(ROW()-1-0.0001, Buildings!$G$2:$G$101, 1), 0)+1))</f>
        <v/>
      </c>
      <c r="G114" s="14">
        <f>IF(ROW()-1&gt;SUM(Buildings!$D$2:$D$101), "", INDEX(Buildings!$B$2:$B$101, IFERROR(MATCH(ROW()-1-0.0001, Buildings!$G$2:$G$101, 1), 0)+1))</f>
        <v/>
      </c>
      <c r="H114" s="15">
        <f>IF(ROW()-1&gt;SUM(Buildings!$D$2:$D$101), "", INDEX(Buildings!$C$2:$C$101, IFERROR(MATCH(ROW()-1-0.0001, Buildings!$G$2:$G$101, 1), 0)+1))</f>
        <v/>
      </c>
      <c r="I114" s="14">
        <f>IF(G114="","",VALUE(SUBSTITUTE(G114,"BLD","")))</f>
        <v/>
      </c>
      <c r="J114" s="14">
        <f>IF(G114="","", (ROW()-1)-IFERROR(INDEX(Buildings!$G$2:$G$101, MATCH(ROW()-1-0.0001, Buildings!$G$2:$G$101, 1)), 0))</f>
        <v/>
      </c>
      <c r="K114" s="15">
        <f>IF(G114="","", CHOOSE(MIN(J114, 10), "First", "Second", "Third", "Fourth", "Fifth", "Sixth", "Seventh", "Eighth", "Ninth", "Tenth") &amp; " Floor")</f>
        <v/>
      </c>
      <c r="L114" s="13">
        <f>IF(G114="","",L113+IF(ISNUMBER(E114),E114,0))</f>
        <v/>
      </c>
    </row>
    <row r="115">
      <c r="A115" s="6">
        <f>IF(F115="","",IF(F115=F114,"",F115))</f>
        <v/>
      </c>
      <c r="B115" s="5">
        <f>IF(G115="","",IF(G115=G114,"",G115))</f>
        <v/>
      </c>
      <c r="C115" s="6">
        <f>IF(H115="","",IF(H115=H114,"",H115))</f>
        <v/>
      </c>
      <c r="D115" s="5">
        <f>IF(G115="","", I115 &amp; "-FL" &amp; TEXT(J115, "00"))</f>
        <v/>
      </c>
      <c r="E115" s="12" t="n"/>
      <c r="F115" s="15">
        <f>IF(ROW()-1&gt;SUM(Buildings!$D$2:$D$101), "", INDEX(Buildings!$F$2:$F$101, IFERROR(MATCH(ROW()-1-0.0001, Buildings!$G$2:$G$101, 1), 0)+1))</f>
        <v/>
      </c>
      <c r="G115" s="14">
        <f>IF(ROW()-1&gt;SUM(Buildings!$D$2:$D$101), "", INDEX(Buildings!$B$2:$B$101, IFERROR(MATCH(ROW()-1-0.0001, Buildings!$G$2:$G$101, 1), 0)+1))</f>
        <v/>
      </c>
      <c r="H115" s="15">
        <f>IF(ROW()-1&gt;SUM(Buildings!$D$2:$D$101), "", INDEX(Buildings!$C$2:$C$101, IFERROR(MATCH(ROW()-1-0.0001, Buildings!$G$2:$G$101, 1), 0)+1))</f>
        <v/>
      </c>
      <c r="I115" s="14">
        <f>IF(G115="","",VALUE(SUBSTITUTE(G115,"BLD","")))</f>
        <v/>
      </c>
      <c r="J115" s="14">
        <f>IF(G115="","", (ROW()-1)-IFERROR(INDEX(Buildings!$G$2:$G$101, MATCH(ROW()-1-0.0001, Buildings!$G$2:$G$101, 1)), 0))</f>
        <v/>
      </c>
      <c r="K115" s="15">
        <f>IF(G115="","", CHOOSE(MIN(J115, 10), "First", "Second", "Third", "Fourth", "Fifth", "Sixth", "Seventh", "Eighth", "Ninth", "Tenth") &amp; " Floor")</f>
        <v/>
      </c>
      <c r="L115" s="13">
        <f>IF(G115="","",L114+IF(ISNUMBER(E115),E115,0))</f>
        <v/>
      </c>
    </row>
    <row r="116">
      <c r="A116" s="6">
        <f>IF(F116="","",IF(F116=F115,"",F116))</f>
        <v/>
      </c>
      <c r="B116" s="5">
        <f>IF(G116="","",IF(G116=G115,"",G116))</f>
        <v/>
      </c>
      <c r="C116" s="6">
        <f>IF(H116="","",IF(H116=H115,"",H116))</f>
        <v/>
      </c>
      <c r="D116" s="5">
        <f>IF(G116="","", I116 &amp; "-FL" &amp; TEXT(J116, "00"))</f>
        <v/>
      </c>
      <c r="E116" s="12" t="n"/>
      <c r="F116" s="15">
        <f>IF(ROW()-1&gt;SUM(Buildings!$D$2:$D$101), "", INDEX(Buildings!$F$2:$F$101, IFERROR(MATCH(ROW()-1-0.0001, Buildings!$G$2:$G$101, 1), 0)+1))</f>
        <v/>
      </c>
      <c r="G116" s="14">
        <f>IF(ROW()-1&gt;SUM(Buildings!$D$2:$D$101), "", INDEX(Buildings!$B$2:$B$101, IFERROR(MATCH(ROW()-1-0.0001, Buildings!$G$2:$G$101, 1), 0)+1))</f>
        <v/>
      </c>
      <c r="H116" s="15">
        <f>IF(ROW()-1&gt;SUM(Buildings!$D$2:$D$101), "", INDEX(Buildings!$C$2:$C$101, IFERROR(MATCH(ROW()-1-0.0001, Buildings!$G$2:$G$101, 1), 0)+1))</f>
        <v/>
      </c>
      <c r="I116" s="14">
        <f>IF(G116="","",VALUE(SUBSTITUTE(G116,"BLD","")))</f>
        <v/>
      </c>
      <c r="J116" s="14">
        <f>IF(G116="","", (ROW()-1)-IFERROR(INDEX(Buildings!$G$2:$G$101, MATCH(ROW()-1-0.0001, Buildings!$G$2:$G$101, 1)), 0))</f>
        <v/>
      </c>
      <c r="K116" s="15">
        <f>IF(G116="","", CHOOSE(MIN(J116, 10), "First", "Second", "Third", "Fourth", "Fifth", "Sixth", "Seventh", "Eighth", "Ninth", "Tenth") &amp; " Floor")</f>
        <v/>
      </c>
      <c r="L116" s="13">
        <f>IF(G116="","",L115+IF(ISNUMBER(E116),E116,0))</f>
        <v/>
      </c>
    </row>
    <row r="117">
      <c r="A117" s="6">
        <f>IF(F117="","",IF(F117=F116,"",F117))</f>
        <v/>
      </c>
      <c r="B117" s="5">
        <f>IF(G117="","",IF(G117=G116,"",G117))</f>
        <v/>
      </c>
      <c r="C117" s="6">
        <f>IF(H117="","",IF(H117=H116,"",H117))</f>
        <v/>
      </c>
      <c r="D117" s="5">
        <f>IF(G117="","", I117 &amp; "-FL" &amp; TEXT(J117, "00"))</f>
        <v/>
      </c>
      <c r="E117" s="12" t="n"/>
      <c r="F117" s="15">
        <f>IF(ROW()-1&gt;SUM(Buildings!$D$2:$D$101), "", INDEX(Buildings!$F$2:$F$101, IFERROR(MATCH(ROW()-1-0.0001, Buildings!$G$2:$G$101, 1), 0)+1))</f>
        <v/>
      </c>
      <c r="G117" s="14">
        <f>IF(ROW()-1&gt;SUM(Buildings!$D$2:$D$101), "", INDEX(Buildings!$B$2:$B$101, IFERROR(MATCH(ROW()-1-0.0001, Buildings!$G$2:$G$101, 1), 0)+1))</f>
        <v/>
      </c>
      <c r="H117" s="15">
        <f>IF(ROW()-1&gt;SUM(Buildings!$D$2:$D$101), "", INDEX(Buildings!$C$2:$C$101, IFERROR(MATCH(ROW()-1-0.0001, Buildings!$G$2:$G$101, 1), 0)+1))</f>
        <v/>
      </c>
      <c r="I117" s="14">
        <f>IF(G117="","",VALUE(SUBSTITUTE(G117,"BLD","")))</f>
        <v/>
      </c>
      <c r="J117" s="14">
        <f>IF(G117="","", (ROW()-1)-IFERROR(INDEX(Buildings!$G$2:$G$101, MATCH(ROW()-1-0.0001, Buildings!$G$2:$G$101, 1)), 0))</f>
        <v/>
      </c>
      <c r="K117" s="15">
        <f>IF(G117="","", CHOOSE(MIN(J117, 10), "First", "Second", "Third", "Fourth", "Fifth", "Sixth", "Seventh", "Eighth", "Ninth", "Tenth") &amp; " Floor")</f>
        <v/>
      </c>
      <c r="L117" s="13">
        <f>IF(G117="","",L116+IF(ISNUMBER(E117),E117,0))</f>
        <v/>
      </c>
    </row>
    <row r="118">
      <c r="A118" s="6">
        <f>IF(F118="","",IF(F118=F117,"",F118))</f>
        <v/>
      </c>
      <c r="B118" s="5">
        <f>IF(G118="","",IF(G118=G117,"",G118))</f>
        <v/>
      </c>
      <c r="C118" s="6">
        <f>IF(H118="","",IF(H118=H117,"",H118))</f>
        <v/>
      </c>
      <c r="D118" s="5">
        <f>IF(G118="","", I118 &amp; "-FL" &amp; TEXT(J118, "00"))</f>
        <v/>
      </c>
      <c r="E118" s="12" t="n"/>
      <c r="F118" s="15">
        <f>IF(ROW()-1&gt;SUM(Buildings!$D$2:$D$101), "", INDEX(Buildings!$F$2:$F$101, IFERROR(MATCH(ROW()-1-0.0001, Buildings!$G$2:$G$101, 1), 0)+1))</f>
        <v/>
      </c>
      <c r="G118" s="14">
        <f>IF(ROW()-1&gt;SUM(Buildings!$D$2:$D$101), "", INDEX(Buildings!$B$2:$B$101, IFERROR(MATCH(ROW()-1-0.0001, Buildings!$G$2:$G$101, 1), 0)+1))</f>
        <v/>
      </c>
      <c r="H118" s="15">
        <f>IF(ROW()-1&gt;SUM(Buildings!$D$2:$D$101), "", INDEX(Buildings!$C$2:$C$101, IFERROR(MATCH(ROW()-1-0.0001, Buildings!$G$2:$G$101, 1), 0)+1))</f>
        <v/>
      </c>
      <c r="I118" s="14">
        <f>IF(G118="","",VALUE(SUBSTITUTE(G118,"BLD","")))</f>
        <v/>
      </c>
      <c r="J118" s="14">
        <f>IF(G118="","", (ROW()-1)-IFERROR(INDEX(Buildings!$G$2:$G$101, MATCH(ROW()-1-0.0001, Buildings!$G$2:$G$101, 1)), 0))</f>
        <v/>
      </c>
      <c r="K118" s="15">
        <f>IF(G118="","", CHOOSE(MIN(J118, 10), "First", "Second", "Third", "Fourth", "Fifth", "Sixth", "Seventh", "Eighth", "Ninth", "Tenth") &amp; " Floor")</f>
        <v/>
      </c>
      <c r="L118" s="13">
        <f>IF(G118="","",L117+IF(ISNUMBER(E118),E118,0))</f>
        <v/>
      </c>
    </row>
    <row r="119">
      <c r="A119" s="6">
        <f>IF(F119="","",IF(F119=F118,"",F119))</f>
        <v/>
      </c>
      <c r="B119" s="5">
        <f>IF(G119="","",IF(G119=G118,"",G119))</f>
        <v/>
      </c>
      <c r="C119" s="6">
        <f>IF(H119="","",IF(H119=H118,"",H119))</f>
        <v/>
      </c>
      <c r="D119" s="5">
        <f>IF(G119="","", I119 &amp; "-FL" &amp; TEXT(J119, "00"))</f>
        <v/>
      </c>
      <c r="E119" s="12" t="n"/>
      <c r="F119" s="15">
        <f>IF(ROW()-1&gt;SUM(Buildings!$D$2:$D$101), "", INDEX(Buildings!$F$2:$F$101, IFERROR(MATCH(ROW()-1-0.0001, Buildings!$G$2:$G$101, 1), 0)+1))</f>
        <v/>
      </c>
      <c r="G119" s="14">
        <f>IF(ROW()-1&gt;SUM(Buildings!$D$2:$D$101), "", INDEX(Buildings!$B$2:$B$101, IFERROR(MATCH(ROW()-1-0.0001, Buildings!$G$2:$G$101, 1), 0)+1))</f>
        <v/>
      </c>
      <c r="H119" s="15">
        <f>IF(ROW()-1&gt;SUM(Buildings!$D$2:$D$101), "", INDEX(Buildings!$C$2:$C$101, IFERROR(MATCH(ROW()-1-0.0001, Buildings!$G$2:$G$101, 1), 0)+1))</f>
        <v/>
      </c>
      <c r="I119" s="14">
        <f>IF(G119="","",VALUE(SUBSTITUTE(G119,"BLD","")))</f>
        <v/>
      </c>
      <c r="J119" s="14">
        <f>IF(G119="","", (ROW()-1)-IFERROR(INDEX(Buildings!$G$2:$G$101, MATCH(ROW()-1-0.0001, Buildings!$G$2:$G$101, 1)), 0))</f>
        <v/>
      </c>
      <c r="K119" s="15">
        <f>IF(G119="","", CHOOSE(MIN(J119, 10), "First", "Second", "Third", "Fourth", "Fifth", "Sixth", "Seventh", "Eighth", "Ninth", "Tenth") &amp; " Floor")</f>
        <v/>
      </c>
      <c r="L119" s="13">
        <f>IF(G119="","",L118+IF(ISNUMBER(E119),E119,0))</f>
        <v/>
      </c>
    </row>
    <row r="120">
      <c r="A120" s="6">
        <f>IF(F120="","",IF(F120=F119,"",F120))</f>
        <v/>
      </c>
      <c r="B120" s="5">
        <f>IF(G120="","",IF(G120=G119,"",G120))</f>
        <v/>
      </c>
      <c r="C120" s="6">
        <f>IF(H120="","",IF(H120=H119,"",H120))</f>
        <v/>
      </c>
      <c r="D120" s="5">
        <f>IF(G120="","", I120 &amp; "-FL" &amp; TEXT(J120, "00"))</f>
        <v/>
      </c>
      <c r="E120" s="12" t="n"/>
      <c r="F120" s="15">
        <f>IF(ROW()-1&gt;SUM(Buildings!$D$2:$D$101), "", INDEX(Buildings!$F$2:$F$101, IFERROR(MATCH(ROW()-1-0.0001, Buildings!$G$2:$G$101, 1), 0)+1))</f>
        <v/>
      </c>
      <c r="G120" s="14">
        <f>IF(ROW()-1&gt;SUM(Buildings!$D$2:$D$101), "", INDEX(Buildings!$B$2:$B$101, IFERROR(MATCH(ROW()-1-0.0001, Buildings!$G$2:$G$101, 1), 0)+1))</f>
        <v/>
      </c>
      <c r="H120" s="15">
        <f>IF(ROW()-1&gt;SUM(Buildings!$D$2:$D$101), "", INDEX(Buildings!$C$2:$C$101, IFERROR(MATCH(ROW()-1-0.0001, Buildings!$G$2:$G$101, 1), 0)+1))</f>
        <v/>
      </c>
      <c r="I120" s="14">
        <f>IF(G120="","",VALUE(SUBSTITUTE(G120,"BLD","")))</f>
        <v/>
      </c>
      <c r="J120" s="14">
        <f>IF(G120="","", (ROW()-1)-IFERROR(INDEX(Buildings!$G$2:$G$101, MATCH(ROW()-1-0.0001, Buildings!$G$2:$G$101, 1)), 0))</f>
        <v/>
      </c>
      <c r="K120" s="15">
        <f>IF(G120="","", CHOOSE(MIN(J120, 10), "First", "Second", "Third", "Fourth", "Fifth", "Sixth", "Seventh", "Eighth", "Ninth", "Tenth") &amp; " Floor")</f>
        <v/>
      </c>
      <c r="L120" s="13">
        <f>IF(G120="","",L119+IF(ISNUMBER(E120),E120,0))</f>
        <v/>
      </c>
    </row>
    <row r="121">
      <c r="A121" s="6">
        <f>IF(F121="","",IF(F121=F120,"",F121))</f>
        <v/>
      </c>
      <c r="B121" s="5">
        <f>IF(G121="","",IF(G121=G120,"",G121))</f>
        <v/>
      </c>
      <c r="C121" s="6">
        <f>IF(H121="","",IF(H121=H120,"",H121))</f>
        <v/>
      </c>
      <c r="D121" s="5">
        <f>IF(G121="","", I121 &amp; "-FL" &amp; TEXT(J121, "00"))</f>
        <v/>
      </c>
      <c r="E121" s="12" t="n"/>
      <c r="F121" s="15">
        <f>IF(ROW()-1&gt;SUM(Buildings!$D$2:$D$101), "", INDEX(Buildings!$F$2:$F$101, IFERROR(MATCH(ROW()-1-0.0001, Buildings!$G$2:$G$101, 1), 0)+1))</f>
        <v/>
      </c>
      <c r="G121" s="14">
        <f>IF(ROW()-1&gt;SUM(Buildings!$D$2:$D$101), "", INDEX(Buildings!$B$2:$B$101, IFERROR(MATCH(ROW()-1-0.0001, Buildings!$G$2:$G$101, 1), 0)+1))</f>
        <v/>
      </c>
      <c r="H121" s="15">
        <f>IF(ROW()-1&gt;SUM(Buildings!$D$2:$D$101), "", INDEX(Buildings!$C$2:$C$101, IFERROR(MATCH(ROW()-1-0.0001, Buildings!$G$2:$G$101, 1), 0)+1))</f>
        <v/>
      </c>
      <c r="I121" s="14">
        <f>IF(G121="","",VALUE(SUBSTITUTE(G121,"BLD","")))</f>
        <v/>
      </c>
      <c r="J121" s="14">
        <f>IF(G121="","", (ROW()-1)-IFERROR(INDEX(Buildings!$G$2:$G$101, MATCH(ROW()-1-0.0001, Buildings!$G$2:$G$101, 1)), 0))</f>
        <v/>
      </c>
      <c r="K121" s="15">
        <f>IF(G121="","", CHOOSE(MIN(J121, 10), "First", "Second", "Third", "Fourth", "Fifth", "Sixth", "Seventh", "Eighth", "Ninth", "Tenth") &amp; " Floor")</f>
        <v/>
      </c>
      <c r="L121" s="13">
        <f>IF(G121="","",L120+IF(ISNUMBER(E121),E121,0))</f>
        <v/>
      </c>
    </row>
    <row r="122">
      <c r="A122" s="6">
        <f>IF(F122="","",IF(F122=F121,"",F122))</f>
        <v/>
      </c>
      <c r="B122" s="5">
        <f>IF(G122="","",IF(G122=G121,"",G122))</f>
        <v/>
      </c>
      <c r="C122" s="6">
        <f>IF(H122="","",IF(H122=H121,"",H122))</f>
        <v/>
      </c>
      <c r="D122" s="5">
        <f>IF(G122="","", I122 &amp; "-FL" &amp; TEXT(J122, "00"))</f>
        <v/>
      </c>
      <c r="E122" s="12" t="n"/>
      <c r="F122" s="15">
        <f>IF(ROW()-1&gt;SUM(Buildings!$D$2:$D$101), "", INDEX(Buildings!$F$2:$F$101, IFERROR(MATCH(ROW()-1-0.0001, Buildings!$G$2:$G$101, 1), 0)+1))</f>
        <v/>
      </c>
      <c r="G122" s="14">
        <f>IF(ROW()-1&gt;SUM(Buildings!$D$2:$D$101), "", INDEX(Buildings!$B$2:$B$101, IFERROR(MATCH(ROW()-1-0.0001, Buildings!$G$2:$G$101, 1), 0)+1))</f>
        <v/>
      </c>
      <c r="H122" s="15">
        <f>IF(ROW()-1&gt;SUM(Buildings!$D$2:$D$101), "", INDEX(Buildings!$C$2:$C$101, IFERROR(MATCH(ROW()-1-0.0001, Buildings!$G$2:$G$101, 1), 0)+1))</f>
        <v/>
      </c>
      <c r="I122" s="14">
        <f>IF(G122="","",VALUE(SUBSTITUTE(G122,"BLD","")))</f>
        <v/>
      </c>
      <c r="J122" s="14">
        <f>IF(G122="","", (ROW()-1)-IFERROR(INDEX(Buildings!$G$2:$G$101, MATCH(ROW()-1-0.0001, Buildings!$G$2:$G$101, 1)), 0))</f>
        <v/>
      </c>
      <c r="K122" s="15">
        <f>IF(G122="","", CHOOSE(MIN(J122, 10), "First", "Second", "Third", "Fourth", "Fifth", "Sixth", "Seventh", "Eighth", "Ninth", "Tenth") &amp; " Floor")</f>
        <v/>
      </c>
      <c r="L122" s="13">
        <f>IF(G122="","",L121+IF(ISNUMBER(E122),E122,0))</f>
        <v/>
      </c>
    </row>
    <row r="123">
      <c r="A123" s="6">
        <f>IF(F123="","",IF(F123=F122,"",F123))</f>
        <v/>
      </c>
      <c r="B123" s="5">
        <f>IF(G123="","",IF(G123=G122,"",G123))</f>
        <v/>
      </c>
      <c r="C123" s="6">
        <f>IF(H123="","",IF(H123=H122,"",H123))</f>
        <v/>
      </c>
      <c r="D123" s="5">
        <f>IF(G123="","", I123 &amp; "-FL" &amp; TEXT(J123, "00"))</f>
        <v/>
      </c>
      <c r="E123" s="12" t="n"/>
      <c r="F123" s="15">
        <f>IF(ROW()-1&gt;SUM(Buildings!$D$2:$D$101), "", INDEX(Buildings!$F$2:$F$101, IFERROR(MATCH(ROW()-1-0.0001, Buildings!$G$2:$G$101, 1), 0)+1))</f>
        <v/>
      </c>
      <c r="G123" s="14">
        <f>IF(ROW()-1&gt;SUM(Buildings!$D$2:$D$101), "", INDEX(Buildings!$B$2:$B$101, IFERROR(MATCH(ROW()-1-0.0001, Buildings!$G$2:$G$101, 1), 0)+1))</f>
        <v/>
      </c>
      <c r="H123" s="15">
        <f>IF(ROW()-1&gt;SUM(Buildings!$D$2:$D$101), "", INDEX(Buildings!$C$2:$C$101, IFERROR(MATCH(ROW()-1-0.0001, Buildings!$G$2:$G$101, 1), 0)+1))</f>
        <v/>
      </c>
      <c r="I123" s="14">
        <f>IF(G123="","",VALUE(SUBSTITUTE(G123,"BLD","")))</f>
        <v/>
      </c>
      <c r="J123" s="14">
        <f>IF(G123="","", (ROW()-1)-IFERROR(INDEX(Buildings!$G$2:$G$101, MATCH(ROW()-1-0.0001, Buildings!$G$2:$G$101, 1)), 0))</f>
        <v/>
      </c>
      <c r="K123" s="15">
        <f>IF(G123="","", CHOOSE(MIN(J123, 10), "First", "Second", "Third", "Fourth", "Fifth", "Sixth", "Seventh", "Eighth", "Ninth", "Tenth") &amp; " Floor")</f>
        <v/>
      </c>
      <c r="L123" s="13">
        <f>IF(G123="","",L122+IF(ISNUMBER(E123),E123,0))</f>
        <v/>
      </c>
    </row>
    <row r="124">
      <c r="A124" s="6">
        <f>IF(F124="","",IF(F124=F123,"",F124))</f>
        <v/>
      </c>
      <c r="B124" s="5">
        <f>IF(G124="","",IF(G124=G123,"",G124))</f>
        <v/>
      </c>
      <c r="C124" s="6">
        <f>IF(H124="","",IF(H124=H123,"",H124))</f>
        <v/>
      </c>
      <c r="D124" s="5">
        <f>IF(G124="","", I124 &amp; "-FL" &amp; TEXT(J124, "00"))</f>
        <v/>
      </c>
      <c r="E124" s="12" t="n"/>
      <c r="F124" s="15">
        <f>IF(ROW()-1&gt;SUM(Buildings!$D$2:$D$101), "", INDEX(Buildings!$F$2:$F$101, IFERROR(MATCH(ROW()-1-0.0001, Buildings!$G$2:$G$101, 1), 0)+1))</f>
        <v/>
      </c>
      <c r="G124" s="14">
        <f>IF(ROW()-1&gt;SUM(Buildings!$D$2:$D$101), "", INDEX(Buildings!$B$2:$B$101, IFERROR(MATCH(ROW()-1-0.0001, Buildings!$G$2:$G$101, 1), 0)+1))</f>
        <v/>
      </c>
      <c r="H124" s="15">
        <f>IF(ROW()-1&gt;SUM(Buildings!$D$2:$D$101), "", INDEX(Buildings!$C$2:$C$101, IFERROR(MATCH(ROW()-1-0.0001, Buildings!$G$2:$G$101, 1), 0)+1))</f>
        <v/>
      </c>
      <c r="I124" s="14">
        <f>IF(G124="","",VALUE(SUBSTITUTE(G124,"BLD","")))</f>
        <v/>
      </c>
      <c r="J124" s="14">
        <f>IF(G124="","", (ROW()-1)-IFERROR(INDEX(Buildings!$G$2:$G$101, MATCH(ROW()-1-0.0001, Buildings!$G$2:$G$101, 1)), 0))</f>
        <v/>
      </c>
      <c r="K124" s="15">
        <f>IF(G124="","", CHOOSE(MIN(J124, 10), "First", "Second", "Third", "Fourth", "Fifth", "Sixth", "Seventh", "Eighth", "Ninth", "Tenth") &amp; " Floor")</f>
        <v/>
      </c>
      <c r="L124" s="13">
        <f>IF(G124="","",L123+IF(ISNUMBER(E124),E124,0))</f>
        <v/>
      </c>
    </row>
    <row r="125">
      <c r="A125" s="6">
        <f>IF(F125="","",IF(F125=F124,"",F125))</f>
        <v/>
      </c>
      <c r="B125" s="5">
        <f>IF(G125="","",IF(G125=G124,"",G125))</f>
        <v/>
      </c>
      <c r="C125" s="6">
        <f>IF(H125="","",IF(H125=H124,"",H125))</f>
        <v/>
      </c>
      <c r="D125" s="5">
        <f>IF(G125="","", I125 &amp; "-FL" &amp; TEXT(J125, "00"))</f>
        <v/>
      </c>
      <c r="E125" s="12" t="n"/>
      <c r="F125" s="15">
        <f>IF(ROW()-1&gt;SUM(Buildings!$D$2:$D$101), "", INDEX(Buildings!$F$2:$F$101, IFERROR(MATCH(ROW()-1-0.0001, Buildings!$G$2:$G$101, 1), 0)+1))</f>
        <v/>
      </c>
      <c r="G125" s="14">
        <f>IF(ROW()-1&gt;SUM(Buildings!$D$2:$D$101), "", INDEX(Buildings!$B$2:$B$101, IFERROR(MATCH(ROW()-1-0.0001, Buildings!$G$2:$G$101, 1), 0)+1))</f>
        <v/>
      </c>
      <c r="H125" s="15">
        <f>IF(ROW()-1&gt;SUM(Buildings!$D$2:$D$101), "", INDEX(Buildings!$C$2:$C$101, IFERROR(MATCH(ROW()-1-0.0001, Buildings!$G$2:$G$101, 1), 0)+1))</f>
        <v/>
      </c>
      <c r="I125" s="14">
        <f>IF(G125="","",VALUE(SUBSTITUTE(G125,"BLD","")))</f>
        <v/>
      </c>
      <c r="J125" s="14">
        <f>IF(G125="","", (ROW()-1)-IFERROR(INDEX(Buildings!$G$2:$G$101, MATCH(ROW()-1-0.0001, Buildings!$G$2:$G$101, 1)), 0))</f>
        <v/>
      </c>
      <c r="K125" s="15">
        <f>IF(G125="","", CHOOSE(MIN(J125, 10), "First", "Second", "Third", "Fourth", "Fifth", "Sixth", "Seventh", "Eighth", "Ninth", "Tenth") &amp; " Floor")</f>
        <v/>
      </c>
      <c r="L125" s="13">
        <f>IF(G125="","",L124+IF(ISNUMBER(E125),E125,0))</f>
        <v/>
      </c>
    </row>
    <row r="126">
      <c r="A126" s="6">
        <f>IF(F126="","",IF(F126=F125,"",F126))</f>
        <v/>
      </c>
      <c r="B126" s="5">
        <f>IF(G126="","",IF(G126=G125,"",G126))</f>
        <v/>
      </c>
      <c r="C126" s="6">
        <f>IF(H126="","",IF(H126=H125,"",H126))</f>
        <v/>
      </c>
      <c r="D126" s="5">
        <f>IF(G126="","", I126 &amp; "-FL" &amp; TEXT(J126, "00"))</f>
        <v/>
      </c>
      <c r="E126" s="12" t="n"/>
      <c r="F126" s="15">
        <f>IF(ROW()-1&gt;SUM(Buildings!$D$2:$D$101), "", INDEX(Buildings!$F$2:$F$101, IFERROR(MATCH(ROW()-1-0.0001, Buildings!$G$2:$G$101, 1), 0)+1))</f>
        <v/>
      </c>
      <c r="G126" s="14">
        <f>IF(ROW()-1&gt;SUM(Buildings!$D$2:$D$101), "", INDEX(Buildings!$B$2:$B$101, IFERROR(MATCH(ROW()-1-0.0001, Buildings!$G$2:$G$101, 1), 0)+1))</f>
        <v/>
      </c>
      <c r="H126" s="15">
        <f>IF(ROW()-1&gt;SUM(Buildings!$D$2:$D$101), "", INDEX(Buildings!$C$2:$C$101, IFERROR(MATCH(ROW()-1-0.0001, Buildings!$G$2:$G$101, 1), 0)+1))</f>
        <v/>
      </c>
      <c r="I126" s="14">
        <f>IF(G126="","",VALUE(SUBSTITUTE(G126,"BLD","")))</f>
        <v/>
      </c>
      <c r="J126" s="14">
        <f>IF(G126="","", (ROW()-1)-IFERROR(INDEX(Buildings!$G$2:$G$101, MATCH(ROW()-1-0.0001, Buildings!$G$2:$G$101, 1)), 0))</f>
        <v/>
      </c>
      <c r="K126" s="15">
        <f>IF(G126="","", CHOOSE(MIN(J126, 10), "First", "Second", "Third", "Fourth", "Fifth", "Sixth", "Seventh", "Eighth", "Ninth", "Tenth") &amp; " Floor")</f>
        <v/>
      </c>
      <c r="L126" s="13">
        <f>IF(G126="","",L125+IF(ISNUMBER(E126),E126,0))</f>
        <v/>
      </c>
    </row>
    <row r="127">
      <c r="A127" s="6">
        <f>IF(F127="","",IF(F127=F126,"",F127))</f>
        <v/>
      </c>
      <c r="B127" s="5">
        <f>IF(G127="","",IF(G127=G126,"",G127))</f>
        <v/>
      </c>
      <c r="C127" s="6">
        <f>IF(H127="","",IF(H127=H126,"",H127))</f>
        <v/>
      </c>
      <c r="D127" s="5">
        <f>IF(G127="","", I127 &amp; "-FL" &amp; TEXT(J127, "00"))</f>
        <v/>
      </c>
      <c r="E127" s="12" t="n"/>
      <c r="F127" s="15">
        <f>IF(ROW()-1&gt;SUM(Buildings!$D$2:$D$101), "", INDEX(Buildings!$F$2:$F$101, IFERROR(MATCH(ROW()-1-0.0001, Buildings!$G$2:$G$101, 1), 0)+1))</f>
        <v/>
      </c>
      <c r="G127" s="14">
        <f>IF(ROW()-1&gt;SUM(Buildings!$D$2:$D$101), "", INDEX(Buildings!$B$2:$B$101, IFERROR(MATCH(ROW()-1-0.0001, Buildings!$G$2:$G$101, 1), 0)+1))</f>
        <v/>
      </c>
      <c r="H127" s="15">
        <f>IF(ROW()-1&gt;SUM(Buildings!$D$2:$D$101), "", INDEX(Buildings!$C$2:$C$101, IFERROR(MATCH(ROW()-1-0.0001, Buildings!$G$2:$G$101, 1), 0)+1))</f>
        <v/>
      </c>
      <c r="I127" s="14">
        <f>IF(G127="","",VALUE(SUBSTITUTE(G127,"BLD","")))</f>
        <v/>
      </c>
      <c r="J127" s="14">
        <f>IF(G127="","", (ROW()-1)-IFERROR(INDEX(Buildings!$G$2:$G$101, MATCH(ROW()-1-0.0001, Buildings!$G$2:$G$101, 1)), 0))</f>
        <v/>
      </c>
      <c r="K127" s="15">
        <f>IF(G127="","", CHOOSE(MIN(J127, 10), "First", "Second", "Third", "Fourth", "Fifth", "Sixth", "Seventh", "Eighth", "Ninth", "Tenth") &amp; " Floor")</f>
        <v/>
      </c>
      <c r="L127" s="13">
        <f>IF(G127="","",L126+IF(ISNUMBER(E127),E127,0))</f>
        <v/>
      </c>
    </row>
    <row r="128">
      <c r="A128" s="6">
        <f>IF(F128="","",IF(F128=F127,"",F128))</f>
        <v/>
      </c>
      <c r="B128" s="5">
        <f>IF(G128="","",IF(G128=G127,"",G128))</f>
        <v/>
      </c>
      <c r="C128" s="6">
        <f>IF(H128="","",IF(H128=H127,"",H128))</f>
        <v/>
      </c>
      <c r="D128" s="5">
        <f>IF(G128="","", I128 &amp; "-FL" &amp; TEXT(J128, "00"))</f>
        <v/>
      </c>
      <c r="E128" s="12" t="n"/>
      <c r="F128" s="15">
        <f>IF(ROW()-1&gt;SUM(Buildings!$D$2:$D$101), "", INDEX(Buildings!$F$2:$F$101, IFERROR(MATCH(ROW()-1-0.0001, Buildings!$G$2:$G$101, 1), 0)+1))</f>
        <v/>
      </c>
      <c r="G128" s="14">
        <f>IF(ROW()-1&gt;SUM(Buildings!$D$2:$D$101), "", INDEX(Buildings!$B$2:$B$101, IFERROR(MATCH(ROW()-1-0.0001, Buildings!$G$2:$G$101, 1), 0)+1))</f>
        <v/>
      </c>
      <c r="H128" s="15">
        <f>IF(ROW()-1&gt;SUM(Buildings!$D$2:$D$101), "", INDEX(Buildings!$C$2:$C$101, IFERROR(MATCH(ROW()-1-0.0001, Buildings!$G$2:$G$101, 1), 0)+1))</f>
        <v/>
      </c>
      <c r="I128" s="14">
        <f>IF(G128="","",VALUE(SUBSTITUTE(G128,"BLD","")))</f>
        <v/>
      </c>
      <c r="J128" s="14">
        <f>IF(G128="","", (ROW()-1)-IFERROR(INDEX(Buildings!$G$2:$G$101, MATCH(ROW()-1-0.0001, Buildings!$G$2:$G$101, 1)), 0))</f>
        <v/>
      </c>
      <c r="K128" s="15">
        <f>IF(G128="","", CHOOSE(MIN(J128, 10), "First", "Second", "Third", "Fourth", "Fifth", "Sixth", "Seventh", "Eighth", "Ninth", "Tenth") &amp; " Floor")</f>
        <v/>
      </c>
      <c r="L128" s="13">
        <f>IF(G128="","",L127+IF(ISNUMBER(E128),E128,0))</f>
        <v/>
      </c>
    </row>
    <row r="129">
      <c r="A129" s="6">
        <f>IF(F129="","",IF(F129=F128,"",F129))</f>
        <v/>
      </c>
      <c r="B129" s="5">
        <f>IF(G129="","",IF(G129=G128,"",G129))</f>
        <v/>
      </c>
      <c r="C129" s="6">
        <f>IF(H129="","",IF(H129=H128,"",H129))</f>
        <v/>
      </c>
      <c r="D129" s="5">
        <f>IF(G129="","", I129 &amp; "-FL" &amp; TEXT(J129, "00"))</f>
        <v/>
      </c>
      <c r="E129" s="12" t="n"/>
      <c r="F129" s="15">
        <f>IF(ROW()-1&gt;SUM(Buildings!$D$2:$D$101), "", INDEX(Buildings!$F$2:$F$101, IFERROR(MATCH(ROW()-1-0.0001, Buildings!$G$2:$G$101, 1), 0)+1))</f>
        <v/>
      </c>
      <c r="G129" s="14">
        <f>IF(ROW()-1&gt;SUM(Buildings!$D$2:$D$101), "", INDEX(Buildings!$B$2:$B$101, IFERROR(MATCH(ROW()-1-0.0001, Buildings!$G$2:$G$101, 1), 0)+1))</f>
        <v/>
      </c>
      <c r="H129" s="15">
        <f>IF(ROW()-1&gt;SUM(Buildings!$D$2:$D$101), "", INDEX(Buildings!$C$2:$C$101, IFERROR(MATCH(ROW()-1-0.0001, Buildings!$G$2:$G$101, 1), 0)+1))</f>
        <v/>
      </c>
      <c r="I129" s="14">
        <f>IF(G129="","",VALUE(SUBSTITUTE(G129,"BLD","")))</f>
        <v/>
      </c>
      <c r="J129" s="14">
        <f>IF(G129="","", (ROW()-1)-IFERROR(INDEX(Buildings!$G$2:$G$101, MATCH(ROW()-1-0.0001, Buildings!$G$2:$G$101, 1)), 0))</f>
        <v/>
      </c>
      <c r="K129" s="15">
        <f>IF(G129="","", CHOOSE(MIN(J129, 10), "First", "Second", "Third", "Fourth", "Fifth", "Sixth", "Seventh", "Eighth", "Ninth", "Tenth") &amp; " Floor")</f>
        <v/>
      </c>
      <c r="L129" s="13">
        <f>IF(G129="","",L128+IF(ISNUMBER(E129),E129,0))</f>
        <v/>
      </c>
    </row>
    <row r="130">
      <c r="A130" s="6">
        <f>IF(F130="","",IF(F130=F129,"",F130))</f>
        <v/>
      </c>
      <c r="B130" s="5">
        <f>IF(G130="","",IF(G130=G129,"",G130))</f>
        <v/>
      </c>
      <c r="C130" s="6">
        <f>IF(H130="","",IF(H130=H129,"",H130))</f>
        <v/>
      </c>
      <c r="D130" s="5">
        <f>IF(G130="","", I130 &amp; "-FL" &amp; TEXT(J130, "00"))</f>
        <v/>
      </c>
      <c r="E130" s="12" t="n"/>
      <c r="F130" s="15">
        <f>IF(ROW()-1&gt;SUM(Buildings!$D$2:$D$101), "", INDEX(Buildings!$F$2:$F$101, IFERROR(MATCH(ROW()-1-0.0001, Buildings!$G$2:$G$101, 1), 0)+1))</f>
        <v/>
      </c>
      <c r="G130" s="14">
        <f>IF(ROW()-1&gt;SUM(Buildings!$D$2:$D$101), "", INDEX(Buildings!$B$2:$B$101, IFERROR(MATCH(ROW()-1-0.0001, Buildings!$G$2:$G$101, 1), 0)+1))</f>
        <v/>
      </c>
      <c r="H130" s="15">
        <f>IF(ROW()-1&gt;SUM(Buildings!$D$2:$D$101), "", INDEX(Buildings!$C$2:$C$101, IFERROR(MATCH(ROW()-1-0.0001, Buildings!$G$2:$G$101, 1), 0)+1))</f>
        <v/>
      </c>
      <c r="I130" s="14">
        <f>IF(G130="","",VALUE(SUBSTITUTE(G130,"BLD","")))</f>
        <v/>
      </c>
      <c r="J130" s="14">
        <f>IF(G130="","", (ROW()-1)-IFERROR(INDEX(Buildings!$G$2:$G$101, MATCH(ROW()-1-0.0001, Buildings!$G$2:$G$101, 1)), 0))</f>
        <v/>
      </c>
      <c r="K130" s="15">
        <f>IF(G130="","", CHOOSE(MIN(J130, 10), "First", "Second", "Third", "Fourth", "Fifth", "Sixth", "Seventh", "Eighth", "Ninth", "Tenth") &amp; " Floor")</f>
        <v/>
      </c>
      <c r="L130" s="13">
        <f>IF(G130="","",L129+IF(ISNUMBER(E130),E130,0))</f>
        <v/>
      </c>
    </row>
    <row r="131">
      <c r="A131" s="6">
        <f>IF(F131="","",IF(F131=F130,"",F131))</f>
        <v/>
      </c>
      <c r="B131" s="5">
        <f>IF(G131="","",IF(G131=G130,"",G131))</f>
        <v/>
      </c>
      <c r="C131" s="6">
        <f>IF(H131="","",IF(H131=H130,"",H131))</f>
        <v/>
      </c>
      <c r="D131" s="5">
        <f>IF(G131="","", I131 &amp; "-FL" &amp; TEXT(J131, "00"))</f>
        <v/>
      </c>
      <c r="E131" s="12" t="n"/>
      <c r="F131" s="15">
        <f>IF(ROW()-1&gt;SUM(Buildings!$D$2:$D$101), "", INDEX(Buildings!$F$2:$F$101, IFERROR(MATCH(ROW()-1-0.0001, Buildings!$G$2:$G$101, 1), 0)+1))</f>
        <v/>
      </c>
      <c r="G131" s="14">
        <f>IF(ROW()-1&gt;SUM(Buildings!$D$2:$D$101), "", INDEX(Buildings!$B$2:$B$101, IFERROR(MATCH(ROW()-1-0.0001, Buildings!$G$2:$G$101, 1), 0)+1))</f>
        <v/>
      </c>
      <c r="H131" s="15">
        <f>IF(ROW()-1&gt;SUM(Buildings!$D$2:$D$101), "", INDEX(Buildings!$C$2:$C$101, IFERROR(MATCH(ROW()-1-0.0001, Buildings!$G$2:$G$101, 1), 0)+1))</f>
        <v/>
      </c>
      <c r="I131" s="14">
        <f>IF(G131="","",VALUE(SUBSTITUTE(G131,"BLD","")))</f>
        <v/>
      </c>
      <c r="J131" s="14">
        <f>IF(G131="","", (ROW()-1)-IFERROR(INDEX(Buildings!$G$2:$G$101, MATCH(ROW()-1-0.0001, Buildings!$G$2:$G$101, 1)), 0))</f>
        <v/>
      </c>
      <c r="K131" s="15">
        <f>IF(G131="","", CHOOSE(MIN(J131, 10), "First", "Second", "Third", "Fourth", "Fifth", "Sixth", "Seventh", "Eighth", "Ninth", "Tenth") &amp; " Floor")</f>
        <v/>
      </c>
      <c r="L131" s="13">
        <f>IF(G131="","",L130+IF(ISNUMBER(E131),E131,0))</f>
        <v/>
      </c>
    </row>
    <row r="132">
      <c r="A132" s="6">
        <f>IF(F132="","",IF(F132=F131,"",F132))</f>
        <v/>
      </c>
      <c r="B132" s="5">
        <f>IF(G132="","",IF(G132=G131,"",G132))</f>
        <v/>
      </c>
      <c r="C132" s="6">
        <f>IF(H132="","",IF(H132=H131,"",H132))</f>
        <v/>
      </c>
      <c r="D132" s="5">
        <f>IF(G132="","", I132 &amp; "-FL" &amp; TEXT(J132, "00"))</f>
        <v/>
      </c>
      <c r="E132" s="12" t="n"/>
      <c r="F132" s="15">
        <f>IF(ROW()-1&gt;SUM(Buildings!$D$2:$D$101), "", INDEX(Buildings!$F$2:$F$101, IFERROR(MATCH(ROW()-1-0.0001, Buildings!$G$2:$G$101, 1), 0)+1))</f>
        <v/>
      </c>
      <c r="G132" s="14">
        <f>IF(ROW()-1&gt;SUM(Buildings!$D$2:$D$101), "", INDEX(Buildings!$B$2:$B$101, IFERROR(MATCH(ROW()-1-0.0001, Buildings!$G$2:$G$101, 1), 0)+1))</f>
        <v/>
      </c>
      <c r="H132" s="15">
        <f>IF(ROW()-1&gt;SUM(Buildings!$D$2:$D$101), "", INDEX(Buildings!$C$2:$C$101, IFERROR(MATCH(ROW()-1-0.0001, Buildings!$G$2:$G$101, 1), 0)+1))</f>
        <v/>
      </c>
      <c r="I132" s="14">
        <f>IF(G132="","",VALUE(SUBSTITUTE(G132,"BLD","")))</f>
        <v/>
      </c>
      <c r="J132" s="14">
        <f>IF(G132="","", (ROW()-1)-IFERROR(INDEX(Buildings!$G$2:$G$101, MATCH(ROW()-1-0.0001, Buildings!$G$2:$G$101, 1)), 0))</f>
        <v/>
      </c>
      <c r="K132" s="15">
        <f>IF(G132="","", CHOOSE(MIN(J132, 10), "First", "Second", "Third", "Fourth", "Fifth", "Sixth", "Seventh", "Eighth", "Ninth", "Tenth") &amp; " Floor")</f>
        <v/>
      </c>
      <c r="L132" s="13">
        <f>IF(G132="","",L131+IF(ISNUMBER(E132),E132,0))</f>
        <v/>
      </c>
    </row>
    <row r="133">
      <c r="A133" s="6">
        <f>IF(F133="","",IF(F133=F132,"",F133))</f>
        <v/>
      </c>
      <c r="B133" s="5">
        <f>IF(G133="","",IF(G133=G132,"",G133))</f>
        <v/>
      </c>
      <c r="C133" s="6">
        <f>IF(H133="","",IF(H133=H132,"",H133))</f>
        <v/>
      </c>
      <c r="D133" s="5">
        <f>IF(G133="","", I133 &amp; "-FL" &amp; TEXT(J133, "00"))</f>
        <v/>
      </c>
      <c r="E133" s="12" t="n"/>
      <c r="F133" s="15">
        <f>IF(ROW()-1&gt;SUM(Buildings!$D$2:$D$101), "", INDEX(Buildings!$F$2:$F$101, IFERROR(MATCH(ROW()-1-0.0001, Buildings!$G$2:$G$101, 1), 0)+1))</f>
        <v/>
      </c>
      <c r="G133" s="14">
        <f>IF(ROW()-1&gt;SUM(Buildings!$D$2:$D$101), "", INDEX(Buildings!$B$2:$B$101, IFERROR(MATCH(ROW()-1-0.0001, Buildings!$G$2:$G$101, 1), 0)+1))</f>
        <v/>
      </c>
      <c r="H133" s="15">
        <f>IF(ROW()-1&gt;SUM(Buildings!$D$2:$D$101), "", INDEX(Buildings!$C$2:$C$101, IFERROR(MATCH(ROW()-1-0.0001, Buildings!$G$2:$G$101, 1), 0)+1))</f>
        <v/>
      </c>
      <c r="I133" s="14">
        <f>IF(G133="","",VALUE(SUBSTITUTE(G133,"BLD","")))</f>
        <v/>
      </c>
      <c r="J133" s="14">
        <f>IF(G133="","", (ROW()-1)-IFERROR(INDEX(Buildings!$G$2:$G$101, MATCH(ROW()-1-0.0001, Buildings!$G$2:$G$101, 1)), 0))</f>
        <v/>
      </c>
      <c r="K133" s="15">
        <f>IF(G133="","", CHOOSE(MIN(J133, 10), "First", "Second", "Third", "Fourth", "Fifth", "Sixth", "Seventh", "Eighth", "Ninth", "Tenth") &amp; " Floor")</f>
        <v/>
      </c>
      <c r="L133" s="13">
        <f>IF(G133="","",L132+IF(ISNUMBER(E133),E133,0))</f>
        <v/>
      </c>
    </row>
    <row r="134">
      <c r="A134" s="6">
        <f>IF(F134="","",IF(F134=F133,"",F134))</f>
        <v/>
      </c>
      <c r="B134" s="5">
        <f>IF(G134="","",IF(G134=G133,"",G134))</f>
        <v/>
      </c>
      <c r="C134" s="6">
        <f>IF(H134="","",IF(H134=H133,"",H134))</f>
        <v/>
      </c>
      <c r="D134" s="5">
        <f>IF(G134="","", I134 &amp; "-FL" &amp; TEXT(J134, "00"))</f>
        <v/>
      </c>
      <c r="E134" s="12" t="n"/>
      <c r="F134" s="15">
        <f>IF(ROW()-1&gt;SUM(Buildings!$D$2:$D$101), "", INDEX(Buildings!$F$2:$F$101, IFERROR(MATCH(ROW()-1-0.0001, Buildings!$G$2:$G$101, 1), 0)+1))</f>
        <v/>
      </c>
      <c r="G134" s="14">
        <f>IF(ROW()-1&gt;SUM(Buildings!$D$2:$D$101), "", INDEX(Buildings!$B$2:$B$101, IFERROR(MATCH(ROW()-1-0.0001, Buildings!$G$2:$G$101, 1), 0)+1))</f>
        <v/>
      </c>
      <c r="H134" s="15">
        <f>IF(ROW()-1&gt;SUM(Buildings!$D$2:$D$101), "", INDEX(Buildings!$C$2:$C$101, IFERROR(MATCH(ROW()-1-0.0001, Buildings!$G$2:$G$101, 1), 0)+1))</f>
        <v/>
      </c>
      <c r="I134" s="14">
        <f>IF(G134="","",VALUE(SUBSTITUTE(G134,"BLD","")))</f>
        <v/>
      </c>
      <c r="J134" s="14">
        <f>IF(G134="","", (ROW()-1)-IFERROR(INDEX(Buildings!$G$2:$G$101, MATCH(ROW()-1-0.0001, Buildings!$G$2:$G$101, 1)), 0))</f>
        <v/>
      </c>
      <c r="K134" s="15">
        <f>IF(G134="","", CHOOSE(MIN(J134, 10), "First", "Second", "Third", "Fourth", "Fifth", "Sixth", "Seventh", "Eighth", "Ninth", "Tenth") &amp; " Floor")</f>
        <v/>
      </c>
      <c r="L134" s="13">
        <f>IF(G134="","",L133+IF(ISNUMBER(E134),E134,0))</f>
        <v/>
      </c>
    </row>
    <row r="135">
      <c r="A135" s="6">
        <f>IF(F135="","",IF(F135=F134,"",F135))</f>
        <v/>
      </c>
      <c r="B135" s="5">
        <f>IF(G135="","",IF(G135=G134,"",G135))</f>
        <v/>
      </c>
      <c r="C135" s="6">
        <f>IF(H135="","",IF(H135=H134,"",H135))</f>
        <v/>
      </c>
      <c r="D135" s="5">
        <f>IF(G135="","", I135 &amp; "-FL" &amp; TEXT(J135, "00"))</f>
        <v/>
      </c>
      <c r="E135" s="12" t="n"/>
      <c r="F135" s="15">
        <f>IF(ROW()-1&gt;SUM(Buildings!$D$2:$D$101), "", INDEX(Buildings!$F$2:$F$101, IFERROR(MATCH(ROW()-1-0.0001, Buildings!$G$2:$G$101, 1), 0)+1))</f>
        <v/>
      </c>
      <c r="G135" s="14">
        <f>IF(ROW()-1&gt;SUM(Buildings!$D$2:$D$101), "", INDEX(Buildings!$B$2:$B$101, IFERROR(MATCH(ROW()-1-0.0001, Buildings!$G$2:$G$101, 1), 0)+1))</f>
        <v/>
      </c>
      <c r="H135" s="15">
        <f>IF(ROW()-1&gt;SUM(Buildings!$D$2:$D$101), "", INDEX(Buildings!$C$2:$C$101, IFERROR(MATCH(ROW()-1-0.0001, Buildings!$G$2:$G$101, 1), 0)+1))</f>
        <v/>
      </c>
      <c r="I135" s="14">
        <f>IF(G135="","",VALUE(SUBSTITUTE(G135,"BLD","")))</f>
        <v/>
      </c>
      <c r="J135" s="14">
        <f>IF(G135="","", (ROW()-1)-IFERROR(INDEX(Buildings!$G$2:$G$101, MATCH(ROW()-1-0.0001, Buildings!$G$2:$G$101, 1)), 0))</f>
        <v/>
      </c>
      <c r="K135" s="15">
        <f>IF(G135="","", CHOOSE(MIN(J135, 10), "First", "Second", "Third", "Fourth", "Fifth", "Sixth", "Seventh", "Eighth", "Ninth", "Tenth") &amp; " Floor")</f>
        <v/>
      </c>
      <c r="L135" s="13">
        <f>IF(G135="","",L134+IF(ISNUMBER(E135),E135,0))</f>
        <v/>
      </c>
    </row>
    <row r="136">
      <c r="A136" s="6">
        <f>IF(F136="","",IF(F136=F135,"",F136))</f>
        <v/>
      </c>
      <c r="B136" s="5">
        <f>IF(G136="","",IF(G136=G135,"",G136))</f>
        <v/>
      </c>
      <c r="C136" s="6">
        <f>IF(H136="","",IF(H136=H135,"",H136))</f>
        <v/>
      </c>
      <c r="D136" s="5">
        <f>IF(G136="","", I136 &amp; "-FL" &amp; TEXT(J136, "00"))</f>
        <v/>
      </c>
      <c r="E136" s="12" t="n"/>
      <c r="F136" s="15">
        <f>IF(ROW()-1&gt;SUM(Buildings!$D$2:$D$101), "", INDEX(Buildings!$F$2:$F$101, IFERROR(MATCH(ROW()-1-0.0001, Buildings!$G$2:$G$101, 1), 0)+1))</f>
        <v/>
      </c>
      <c r="G136" s="14">
        <f>IF(ROW()-1&gt;SUM(Buildings!$D$2:$D$101), "", INDEX(Buildings!$B$2:$B$101, IFERROR(MATCH(ROW()-1-0.0001, Buildings!$G$2:$G$101, 1), 0)+1))</f>
        <v/>
      </c>
      <c r="H136" s="15">
        <f>IF(ROW()-1&gt;SUM(Buildings!$D$2:$D$101), "", INDEX(Buildings!$C$2:$C$101, IFERROR(MATCH(ROW()-1-0.0001, Buildings!$G$2:$G$101, 1), 0)+1))</f>
        <v/>
      </c>
      <c r="I136" s="14">
        <f>IF(G136="","",VALUE(SUBSTITUTE(G136,"BLD","")))</f>
        <v/>
      </c>
      <c r="J136" s="14">
        <f>IF(G136="","", (ROW()-1)-IFERROR(INDEX(Buildings!$G$2:$G$101, MATCH(ROW()-1-0.0001, Buildings!$G$2:$G$101, 1)), 0))</f>
        <v/>
      </c>
      <c r="K136" s="15">
        <f>IF(G136="","", CHOOSE(MIN(J136, 10), "First", "Second", "Third", "Fourth", "Fifth", "Sixth", "Seventh", "Eighth", "Ninth", "Tenth") &amp; " Floor")</f>
        <v/>
      </c>
      <c r="L136" s="13">
        <f>IF(G136="","",L135+IF(ISNUMBER(E136),E136,0))</f>
        <v/>
      </c>
    </row>
    <row r="137">
      <c r="A137" s="6">
        <f>IF(F137="","",IF(F137=F136,"",F137))</f>
        <v/>
      </c>
      <c r="B137" s="5">
        <f>IF(G137="","",IF(G137=G136,"",G137))</f>
        <v/>
      </c>
      <c r="C137" s="6">
        <f>IF(H137="","",IF(H137=H136,"",H137))</f>
        <v/>
      </c>
      <c r="D137" s="5">
        <f>IF(G137="","", I137 &amp; "-FL" &amp; TEXT(J137, "00"))</f>
        <v/>
      </c>
      <c r="E137" s="12" t="n"/>
      <c r="F137" s="15">
        <f>IF(ROW()-1&gt;SUM(Buildings!$D$2:$D$101), "", INDEX(Buildings!$F$2:$F$101, IFERROR(MATCH(ROW()-1-0.0001, Buildings!$G$2:$G$101, 1), 0)+1))</f>
        <v/>
      </c>
      <c r="G137" s="14">
        <f>IF(ROW()-1&gt;SUM(Buildings!$D$2:$D$101), "", INDEX(Buildings!$B$2:$B$101, IFERROR(MATCH(ROW()-1-0.0001, Buildings!$G$2:$G$101, 1), 0)+1))</f>
        <v/>
      </c>
      <c r="H137" s="15">
        <f>IF(ROW()-1&gt;SUM(Buildings!$D$2:$D$101), "", INDEX(Buildings!$C$2:$C$101, IFERROR(MATCH(ROW()-1-0.0001, Buildings!$G$2:$G$101, 1), 0)+1))</f>
        <v/>
      </c>
      <c r="I137" s="14">
        <f>IF(G137="","",VALUE(SUBSTITUTE(G137,"BLD","")))</f>
        <v/>
      </c>
      <c r="J137" s="14">
        <f>IF(G137="","", (ROW()-1)-IFERROR(INDEX(Buildings!$G$2:$G$101, MATCH(ROW()-1-0.0001, Buildings!$G$2:$G$101, 1)), 0))</f>
        <v/>
      </c>
      <c r="K137" s="15">
        <f>IF(G137="","", CHOOSE(MIN(J137, 10), "First", "Second", "Third", "Fourth", "Fifth", "Sixth", "Seventh", "Eighth", "Ninth", "Tenth") &amp; " Floor")</f>
        <v/>
      </c>
      <c r="L137" s="13">
        <f>IF(G137="","",L136+IF(ISNUMBER(E137),E137,0))</f>
        <v/>
      </c>
    </row>
    <row r="138">
      <c r="A138" s="6">
        <f>IF(F138="","",IF(F138=F137,"",F138))</f>
        <v/>
      </c>
      <c r="B138" s="5">
        <f>IF(G138="","",IF(G138=G137,"",G138))</f>
        <v/>
      </c>
      <c r="C138" s="6">
        <f>IF(H138="","",IF(H138=H137,"",H138))</f>
        <v/>
      </c>
      <c r="D138" s="5">
        <f>IF(G138="","", I138 &amp; "-FL" &amp; TEXT(J138, "00"))</f>
        <v/>
      </c>
      <c r="E138" s="12" t="n"/>
      <c r="F138" s="15">
        <f>IF(ROW()-1&gt;SUM(Buildings!$D$2:$D$101), "", INDEX(Buildings!$F$2:$F$101, IFERROR(MATCH(ROW()-1-0.0001, Buildings!$G$2:$G$101, 1), 0)+1))</f>
        <v/>
      </c>
      <c r="G138" s="14">
        <f>IF(ROW()-1&gt;SUM(Buildings!$D$2:$D$101), "", INDEX(Buildings!$B$2:$B$101, IFERROR(MATCH(ROW()-1-0.0001, Buildings!$G$2:$G$101, 1), 0)+1))</f>
        <v/>
      </c>
      <c r="H138" s="15">
        <f>IF(ROW()-1&gt;SUM(Buildings!$D$2:$D$101), "", INDEX(Buildings!$C$2:$C$101, IFERROR(MATCH(ROW()-1-0.0001, Buildings!$G$2:$G$101, 1), 0)+1))</f>
        <v/>
      </c>
      <c r="I138" s="14">
        <f>IF(G138="","",VALUE(SUBSTITUTE(G138,"BLD","")))</f>
        <v/>
      </c>
      <c r="J138" s="14">
        <f>IF(G138="","", (ROW()-1)-IFERROR(INDEX(Buildings!$G$2:$G$101, MATCH(ROW()-1-0.0001, Buildings!$G$2:$G$101, 1)), 0))</f>
        <v/>
      </c>
      <c r="K138" s="15">
        <f>IF(G138="","", CHOOSE(MIN(J138, 10), "First", "Second", "Third", "Fourth", "Fifth", "Sixth", "Seventh", "Eighth", "Ninth", "Tenth") &amp; " Floor")</f>
        <v/>
      </c>
      <c r="L138" s="13">
        <f>IF(G138="","",L137+IF(ISNUMBER(E138),E138,0))</f>
        <v/>
      </c>
    </row>
    <row r="139">
      <c r="A139" s="6">
        <f>IF(F139="","",IF(F139=F138,"",F139))</f>
        <v/>
      </c>
      <c r="B139" s="5">
        <f>IF(G139="","",IF(G139=G138,"",G139))</f>
        <v/>
      </c>
      <c r="C139" s="6">
        <f>IF(H139="","",IF(H139=H138,"",H139))</f>
        <v/>
      </c>
      <c r="D139" s="5">
        <f>IF(G139="","", I139 &amp; "-FL" &amp; TEXT(J139, "00"))</f>
        <v/>
      </c>
      <c r="E139" s="12" t="n"/>
      <c r="F139" s="15">
        <f>IF(ROW()-1&gt;SUM(Buildings!$D$2:$D$101), "", INDEX(Buildings!$F$2:$F$101, IFERROR(MATCH(ROW()-1-0.0001, Buildings!$G$2:$G$101, 1), 0)+1))</f>
        <v/>
      </c>
      <c r="G139" s="14">
        <f>IF(ROW()-1&gt;SUM(Buildings!$D$2:$D$101), "", INDEX(Buildings!$B$2:$B$101, IFERROR(MATCH(ROW()-1-0.0001, Buildings!$G$2:$G$101, 1), 0)+1))</f>
        <v/>
      </c>
      <c r="H139" s="15">
        <f>IF(ROW()-1&gt;SUM(Buildings!$D$2:$D$101), "", INDEX(Buildings!$C$2:$C$101, IFERROR(MATCH(ROW()-1-0.0001, Buildings!$G$2:$G$101, 1), 0)+1))</f>
        <v/>
      </c>
      <c r="I139" s="14">
        <f>IF(G139="","",VALUE(SUBSTITUTE(G139,"BLD","")))</f>
        <v/>
      </c>
      <c r="J139" s="14">
        <f>IF(G139="","", (ROW()-1)-IFERROR(INDEX(Buildings!$G$2:$G$101, MATCH(ROW()-1-0.0001, Buildings!$G$2:$G$101, 1)), 0))</f>
        <v/>
      </c>
      <c r="K139" s="15">
        <f>IF(G139="","", CHOOSE(MIN(J139, 10), "First", "Second", "Third", "Fourth", "Fifth", "Sixth", "Seventh", "Eighth", "Ninth", "Tenth") &amp; " Floor")</f>
        <v/>
      </c>
      <c r="L139" s="13">
        <f>IF(G139="","",L138+IF(ISNUMBER(E139),E139,0))</f>
        <v/>
      </c>
    </row>
    <row r="140">
      <c r="A140" s="6">
        <f>IF(F140="","",IF(F140=F139,"",F140))</f>
        <v/>
      </c>
      <c r="B140" s="5">
        <f>IF(G140="","",IF(G140=G139,"",G140))</f>
        <v/>
      </c>
      <c r="C140" s="6">
        <f>IF(H140="","",IF(H140=H139,"",H140))</f>
        <v/>
      </c>
      <c r="D140" s="5">
        <f>IF(G140="","", I140 &amp; "-FL" &amp; TEXT(J140, "00"))</f>
        <v/>
      </c>
      <c r="E140" s="12" t="n"/>
      <c r="F140" s="15">
        <f>IF(ROW()-1&gt;SUM(Buildings!$D$2:$D$101), "", INDEX(Buildings!$F$2:$F$101, IFERROR(MATCH(ROW()-1-0.0001, Buildings!$G$2:$G$101, 1), 0)+1))</f>
        <v/>
      </c>
      <c r="G140" s="14">
        <f>IF(ROW()-1&gt;SUM(Buildings!$D$2:$D$101), "", INDEX(Buildings!$B$2:$B$101, IFERROR(MATCH(ROW()-1-0.0001, Buildings!$G$2:$G$101, 1), 0)+1))</f>
        <v/>
      </c>
      <c r="H140" s="15">
        <f>IF(ROW()-1&gt;SUM(Buildings!$D$2:$D$101), "", INDEX(Buildings!$C$2:$C$101, IFERROR(MATCH(ROW()-1-0.0001, Buildings!$G$2:$G$101, 1), 0)+1))</f>
        <v/>
      </c>
      <c r="I140" s="14">
        <f>IF(G140="","",VALUE(SUBSTITUTE(G140,"BLD","")))</f>
        <v/>
      </c>
      <c r="J140" s="14">
        <f>IF(G140="","", (ROW()-1)-IFERROR(INDEX(Buildings!$G$2:$G$101, MATCH(ROW()-1-0.0001, Buildings!$G$2:$G$101, 1)), 0))</f>
        <v/>
      </c>
      <c r="K140" s="15">
        <f>IF(G140="","", CHOOSE(MIN(J140, 10), "First", "Second", "Third", "Fourth", "Fifth", "Sixth", "Seventh", "Eighth", "Ninth", "Tenth") &amp; " Floor")</f>
        <v/>
      </c>
      <c r="L140" s="13">
        <f>IF(G140="","",L139+IF(ISNUMBER(E140),E140,0))</f>
        <v/>
      </c>
    </row>
    <row r="141">
      <c r="A141" s="6">
        <f>IF(F141="","",IF(F141=F140,"",F141))</f>
        <v/>
      </c>
      <c r="B141" s="5">
        <f>IF(G141="","",IF(G141=G140,"",G141))</f>
        <v/>
      </c>
      <c r="C141" s="6">
        <f>IF(H141="","",IF(H141=H140,"",H141))</f>
        <v/>
      </c>
      <c r="D141" s="5">
        <f>IF(G141="","", I141 &amp; "-FL" &amp; TEXT(J141, "00"))</f>
        <v/>
      </c>
      <c r="E141" s="12" t="n"/>
      <c r="F141" s="15">
        <f>IF(ROW()-1&gt;SUM(Buildings!$D$2:$D$101), "", INDEX(Buildings!$F$2:$F$101, IFERROR(MATCH(ROW()-1-0.0001, Buildings!$G$2:$G$101, 1), 0)+1))</f>
        <v/>
      </c>
      <c r="G141" s="14">
        <f>IF(ROW()-1&gt;SUM(Buildings!$D$2:$D$101), "", INDEX(Buildings!$B$2:$B$101, IFERROR(MATCH(ROW()-1-0.0001, Buildings!$G$2:$G$101, 1), 0)+1))</f>
        <v/>
      </c>
      <c r="H141" s="15">
        <f>IF(ROW()-1&gt;SUM(Buildings!$D$2:$D$101), "", INDEX(Buildings!$C$2:$C$101, IFERROR(MATCH(ROW()-1-0.0001, Buildings!$G$2:$G$101, 1), 0)+1))</f>
        <v/>
      </c>
      <c r="I141" s="14">
        <f>IF(G141="","",VALUE(SUBSTITUTE(G141,"BLD","")))</f>
        <v/>
      </c>
      <c r="J141" s="14">
        <f>IF(G141="","", (ROW()-1)-IFERROR(INDEX(Buildings!$G$2:$G$101, MATCH(ROW()-1-0.0001, Buildings!$G$2:$G$101, 1)), 0))</f>
        <v/>
      </c>
      <c r="K141" s="15">
        <f>IF(G141="","", CHOOSE(MIN(J141, 10), "First", "Second", "Third", "Fourth", "Fifth", "Sixth", "Seventh", "Eighth", "Ninth", "Tenth") &amp; " Floor")</f>
        <v/>
      </c>
      <c r="L141" s="13">
        <f>IF(G141="","",L140+IF(ISNUMBER(E141),E141,0))</f>
        <v/>
      </c>
    </row>
    <row r="142">
      <c r="A142" s="6">
        <f>IF(F142="","",IF(F142=F141,"",F142))</f>
        <v/>
      </c>
      <c r="B142" s="5">
        <f>IF(G142="","",IF(G142=G141,"",G142))</f>
        <v/>
      </c>
      <c r="C142" s="6">
        <f>IF(H142="","",IF(H142=H141,"",H142))</f>
        <v/>
      </c>
      <c r="D142" s="5">
        <f>IF(G142="","", I142 &amp; "-FL" &amp; TEXT(J142, "00"))</f>
        <v/>
      </c>
      <c r="E142" s="12" t="n"/>
      <c r="F142" s="15">
        <f>IF(ROW()-1&gt;SUM(Buildings!$D$2:$D$101), "", INDEX(Buildings!$F$2:$F$101, IFERROR(MATCH(ROW()-1-0.0001, Buildings!$G$2:$G$101, 1), 0)+1))</f>
        <v/>
      </c>
      <c r="G142" s="14">
        <f>IF(ROW()-1&gt;SUM(Buildings!$D$2:$D$101), "", INDEX(Buildings!$B$2:$B$101, IFERROR(MATCH(ROW()-1-0.0001, Buildings!$G$2:$G$101, 1), 0)+1))</f>
        <v/>
      </c>
      <c r="H142" s="15">
        <f>IF(ROW()-1&gt;SUM(Buildings!$D$2:$D$101), "", INDEX(Buildings!$C$2:$C$101, IFERROR(MATCH(ROW()-1-0.0001, Buildings!$G$2:$G$101, 1), 0)+1))</f>
        <v/>
      </c>
      <c r="I142" s="14">
        <f>IF(G142="","",VALUE(SUBSTITUTE(G142,"BLD","")))</f>
        <v/>
      </c>
      <c r="J142" s="14">
        <f>IF(G142="","", (ROW()-1)-IFERROR(INDEX(Buildings!$G$2:$G$101, MATCH(ROW()-1-0.0001, Buildings!$G$2:$G$101, 1)), 0))</f>
        <v/>
      </c>
      <c r="K142" s="15">
        <f>IF(G142="","", CHOOSE(MIN(J142, 10), "First", "Second", "Third", "Fourth", "Fifth", "Sixth", "Seventh", "Eighth", "Ninth", "Tenth") &amp; " Floor")</f>
        <v/>
      </c>
      <c r="L142" s="13">
        <f>IF(G142="","",L141+IF(ISNUMBER(E142),E142,0))</f>
        <v/>
      </c>
    </row>
    <row r="143">
      <c r="A143" s="6">
        <f>IF(F143="","",IF(F143=F142,"",F143))</f>
        <v/>
      </c>
      <c r="B143" s="5">
        <f>IF(G143="","",IF(G143=G142,"",G143))</f>
        <v/>
      </c>
      <c r="C143" s="6">
        <f>IF(H143="","",IF(H143=H142,"",H143))</f>
        <v/>
      </c>
      <c r="D143" s="5">
        <f>IF(G143="","", I143 &amp; "-FL" &amp; TEXT(J143, "00"))</f>
        <v/>
      </c>
      <c r="E143" s="12" t="n"/>
      <c r="F143" s="15">
        <f>IF(ROW()-1&gt;SUM(Buildings!$D$2:$D$101), "", INDEX(Buildings!$F$2:$F$101, IFERROR(MATCH(ROW()-1-0.0001, Buildings!$G$2:$G$101, 1), 0)+1))</f>
        <v/>
      </c>
      <c r="G143" s="14">
        <f>IF(ROW()-1&gt;SUM(Buildings!$D$2:$D$101), "", INDEX(Buildings!$B$2:$B$101, IFERROR(MATCH(ROW()-1-0.0001, Buildings!$G$2:$G$101, 1), 0)+1))</f>
        <v/>
      </c>
      <c r="H143" s="15">
        <f>IF(ROW()-1&gt;SUM(Buildings!$D$2:$D$101), "", INDEX(Buildings!$C$2:$C$101, IFERROR(MATCH(ROW()-1-0.0001, Buildings!$G$2:$G$101, 1), 0)+1))</f>
        <v/>
      </c>
      <c r="I143" s="14">
        <f>IF(G143="","",VALUE(SUBSTITUTE(G143,"BLD","")))</f>
        <v/>
      </c>
      <c r="J143" s="14">
        <f>IF(G143="","", (ROW()-1)-IFERROR(INDEX(Buildings!$G$2:$G$101, MATCH(ROW()-1-0.0001, Buildings!$G$2:$G$101, 1)), 0))</f>
        <v/>
      </c>
      <c r="K143" s="15">
        <f>IF(G143="","", CHOOSE(MIN(J143, 10), "First", "Second", "Third", "Fourth", "Fifth", "Sixth", "Seventh", "Eighth", "Ninth", "Tenth") &amp; " Floor")</f>
        <v/>
      </c>
      <c r="L143" s="13">
        <f>IF(G143="","",L142+IF(ISNUMBER(E143),E143,0))</f>
        <v/>
      </c>
    </row>
    <row r="144">
      <c r="A144" s="6">
        <f>IF(F144="","",IF(F144=F143,"",F144))</f>
        <v/>
      </c>
      <c r="B144" s="5">
        <f>IF(G144="","",IF(G144=G143,"",G144))</f>
        <v/>
      </c>
      <c r="C144" s="6">
        <f>IF(H144="","",IF(H144=H143,"",H144))</f>
        <v/>
      </c>
      <c r="D144" s="5">
        <f>IF(G144="","", I144 &amp; "-FL" &amp; TEXT(J144, "00"))</f>
        <v/>
      </c>
      <c r="E144" s="12" t="n"/>
      <c r="F144" s="15">
        <f>IF(ROW()-1&gt;SUM(Buildings!$D$2:$D$101), "", INDEX(Buildings!$F$2:$F$101, IFERROR(MATCH(ROW()-1-0.0001, Buildings!$G$2:$G$101, 1), 0)+1))</f>
        <v/>
      </c>
      <c r="G144" s="14">
        <f>IF(ROW()-1&gt;SUM(Buildings!$D$2:$D$101), "", INDEX(Buildings!$B$2:$B$101, IFERROR(MATCH(ROW()-1-0.0001, Buildings!$G$2:$G$101, 1), 0)+1))</f>
        <v/>
      </c>
      <c r="H144" s="15">
        <f>IF(ROW()-1&gt;SUM(Buildings!$D$2:$D$101), "", INDEX(Buildings!$C$2:$C$101, IFERROR(MATCH(ROW()-1-0.0001, Buildings!$G$2:$G$101, 1), 0)+1))</f>
        <v/>
      </c>
      <c r="I144" s="14">
        <f>IF(G144="","",VALUE(SUBSTITUTE(G144,"BLD","")))</f>
        <v/>
      </c>
      <c r="J144" s="14">
        <f>IF(G144="","", (ROW()-1)-IFERROR(INDEX(Buildings!$G$2:$G$101, MATCH(ROW()-1-0.0001, Buildings!$G$2:$G$101, 1)), 0))</f>
        <v/>
      </c>
      <c r="K144" s="15">
        <f>IF(G144="","", CHOOSE(MIN(J144, 10), "First", "Second", "Third", "Fourth", "Fifth", "Sixth", "Seventh", "Eighth", "Ninth", "Tenth") &amp; " Floor")</f>
        <v/>
      </c>
      <c r="L144" s="13">
        <f>IF(G144="","",L143+IF(ISNUMBER(E144),E144,0))</f>
        <v/>
      </c>
    </row>
    <row r="145">
      <c r="A145" s="6">
        <f>IF(F145="","",IF(F145=F144,"",F145))</f>
        <v/>
      </c>
      <c r="B145" s="5">
        <f>IF(G145="","",IF(G145=G144,"",G145))</f>
        <v/>
      </c>
      <c r="C145" s="6">
        <f>IF(H145="","",IF(H145=H144,"",H145))</f>
        <v/>
      </c>
      <c r="D145" s="5">
        <f>IF(G145="","", I145 &amp; "-FL" &amp; TEXT(J145, "00"))</f>
        <v/>
      </c>
      <c r="E145" s="12" t="n"/>
      <c r="F145" s="15">
        <f>IF(ROW()-1&gt;SUM(Buildings!$D$2:$D$101), "", INDEX(Buildings!$F$2:$F$101, IFERROR(MATCH(ROW()-1-0.0001, Buildings!$G$2:$G$101, 1), 0)+1))</f>
        <v/>
      </c>
      <c r="G145" s="14">
        <f>IF(ROW()-1&gt;SUM(Buildings!$D$2:$D$101), "", INDEX(Buildings!$B$2:$B$101, IFERROR(MATCH(ROW()-1-0.0001, Buildings!$G$2:$G$101, 1), 0)+1))</f>
        <v/>
      </c>
      <c r="H145" s="15">
        <f>IF(ROW()-1&gt;SUM(Buildings!$D$2:$D$101), "", INDEX(Buildings!$C$2:$C$101, IFERROR(MATCH(ROW()-1-0.0001, Buildings!$G$2:$G$101, 1), 0)+1))</f>
        <v/>
      </c>
      <c r="I145" s="14">
        <f>IF(G145="","",VALUE(SUBSTITUTE(G145,"BLD","")))</f>
        <v/>
      </c>
      <c r="J145" s="14">
        <f>IF(G145="","", (ROW()-1)-IFERROR(INDEX(Buildings!$G$2:$G$101, MATCH(ROW()-1-0.0001, Buildings!$G$2:$G$101, 1)), 0))</f>
        <v/>
      </c>
      <c r="K145" s="15">
        <f>IF(G145="","", CHOOSE(MIN(J145, 10), "First", "Second", "Third", "Fourth", "Fifth", "Sixth", "Seventh", "Eighth", "Ninth", "Tenth") &amp; " Floor")</f>
        <v/>
      </c>
      <c r="L145" s="13">
        <f>IF(G145="","",L144+IF(ISNUMBER(E145),E145,0))</f>
        <v/>
      </c>
    </row>
    <row r="146">
      <c r="A146" s="6">
        <f>IF(F146="","",IF(F146=F145,"",F146))</f>
        <v/>
      </c>
      <c r="B146" s="5">
        <f>IF(G146="","",IF(G146=G145,"",G146))</f>
        <v/>
      </c>
      <c r="C146" s="6">
        <f>IF(H146="","",IF(H146=H145,"",H146))</f>
        <v/>
      </c>
      <c r="D146" s="5">
        <f>IF(G146="","", I146 &amp; "-FL" &amp; TEXT(J146, "00"))</f>
        <v/>
      </c>
      <c r="E146" s="12" t="n"/>
      <c r="F146" s="15">
        <f>IF(ROW()-1&gt;SUM(Buildings!$D$2:$D$101), "", INDEX(Buildings!$F$2:$F$101, IFERROR(MATCH(ROW()-1-0.0001, Buildings!$G$2:$G$101, 1), 0)+1))</f>
        <v/>
      </c>
      <c r="G146" s="14">
        <f>IF(ROW()-1&gt;SUM(Buildings!$D$2:$D$101), "", INDEX(Buildings!$B$2:$B$101, IFERROR(MATCH(ROW()-1-0.0001, Buildings!$G$2:$G$101, 1), 0)+1))</f>
        <v/>
      </c>
      <c r="H146" s="15">
        <f>IF(ROW()-1&gt;SUM(Buildings!$D$2:$D$101), "", INDEX(Buildings!$C$2:$C$101, IFERROR(MATCH(ROW()-1-0.0001, Buildings!$G$2:$G$101, 1), 0)+1))</f>
        <v/>
      </c>
      <c r="I146" s="14">
        <f>IF(G146="","",VALUE(SUBSTITUTE(G146,"BLD","")))</f>
        <v/>
      </c>
      <c r="J146" s="14">
        <f>IF(G146="","", (ROW()-1)-IFERROR(INDEX(Buildings!$G$2:$G$101, MATCH(ROW()-1-0.0001, Buildings!$G$2:$G$101, 1)), 0))</f>
        <v/>
      </c>
      <c r="K146" s="15">
        <f>IF(G146="","", CHOOSE(MIN(J146, 10), "First", "Second", "Third", "Fourth", "Fifth", "Sixth", "Seventh", "Eighth", "Ninth", "Tenth") &amp; " Floor")</f>
        <v/>
      </c>
      <c r="L146" s="13">
        <f>IF(G146="","",L145+IF(ISNUMBER(E146),E146,0))</f>
        <v/>
      </c>
    </row>
    <row r="147">
      <c r="A147" s="6">
        <f>IF(F147="","",IF(F147=F146,"",F147))</f>
        <v/>
      </c>
      <c r="B147" s="5">
        <f>IF(G147="","",IF(G147=G146,"",G147))</f>
        <v/>
      </c>
      <c r="C147" s="6">
        <f>IF(H147="","",IF(H147=H146,"",H147))</f>
        <v/>
      </c>
      <c r="D147" s="5">
        <f>IF(G147="","", I147 &amp; "-FL" &amp; TEXT(J147, "00"))</f>
        <v/>
      </c>
      <c r="E147" s="12" t="n"/>
      <c r="F147" s="15">
        <f>IF(ROW()-1&gt;SUM(Buildings!$D$2:$D$101), "", INDEX(Buildings!$F$2:$F$101, IFERROR(MATCH(ROW()-1-0.0001, Buildings!$G$2:$G$101, 1), 0)+1))</f>
        <v/>
      </c>
      <c r="G147" s="14">
        <f>IF(ROW()-1&gt;SUM(Buildings!$D$2:$D$101), "", INDEX(Buildings!$B$2:$B$101, IFERROR(MATCH(ROW()-1-0.0001, Buildings!$G$2:$G$101, 1), 0)+1))</f>
        <v/>
      </c>
      <c r="H147" s="15">
        <f>IF(ROW()-1&gt;SUM(Buildings!$D$2:$D$101), "", INDEX(Buildings!$C$2:$C$101, IFERROR(MATCH(ROW()-1-0.0001, Buildings!$G$2:$G$101, 1), 0)+1))</f>
        <v/>
      </c>
      <c r="I147" s="14">
        <f>IF(G147="","",VALUE(SUBSTITUTE(G147,"BLD","")))</f>
        <v/>
      </c>
      <c r="J147" s="14">
        <f>IF(G147="","", (ROW()-1)-IFERROR(INDEX(Buildings!$G$2:$G$101, MATCH(ROW()-1-0.0001, Buildings!$G$2:$G$101, 1)), 0))</f>
        <v/>
      </c>
      <c r="K147" s="15">
        <f>IF(G147="","", CHOOSE(MIN(J147, 10), "First", "Second", "Third", "Fourth", "Fifth", "Sixth", "Seventh", "Eighth", "Ninth", "Tenth") &amp; " Floor")</f>
        <v/>
      </c>
      <c r="L147" s="13">
        <f>IF(G147="","",L146+IF(ISNUMBER(E147),E147,0))</f>
        <v/>
      </c>
    </row>
    <row r="148">
      <c r="A148" s="6">
        <f>IF(F148="","",IF(F148=F147,"",F148))</f>
        <v/>
      </c>
      <c r="B148" s="5">
        <f>IF(G148="","",IF(G148=G147,"",G148))</f>
        <v/>
      </c>
      <c r="C148" s="6">
        <f>IF(H148="","",IF(H148=H147,"",H148))</f>
        <v/>
      </c>
      <c r="D148" s="5">
        <f>IF(G148="","", I148 &amp; "-FL" &amp; TEXT(J148, "00"))</f>
        <v/>
      </c>
      <c r="E148" s="12" t="n"/>
      <c r="F148" s="15">
        <f>IF(ROW()-1&gt;SUM(Buildings!$D$2:$D$101), "", INDEX(Buildings!$F$2:$F$101, IFERROR(MATCH(ROW()-1-0.0001, Buildings!$G$2:$G$101, 1), 0)+1))</f>
        <v/>
      </c>
      <c r="G148" s="14">
        <f>IF(ROW()-1&gt;SUM(Buildings!$D$2:$D$101), "", INDEX(Buildings!$B$2:$B$101, IFERROR(MATCH(ROW()-1-0.0001, Buildings!$G$2:$G$101, 1), 0)+1))</f>
        <v/>
      </c>
      <c r="H148" s="15">
        <f>IF(ROW()-1&gt;SUM(Buildings!$D$2:$D$101), "", INDEX(Buildings!$C$2:$C$101, IFERROR(MATCH(ROW()-1-0.0001, Buildings!$G$2:$G$101, 1), 0)+1))</f>
        <v/>
      </c>
      <c r="I148" s="14">
        <f>IF(G148="","",VALUE(SUBSTITUTE(G148,"BLD","")))</f>
        <v/>
      </c>
      <c r="J148" s="14">
        <f>IF(G148="","", (ROW()-1)-IFERROR(INDEX(Buildings!$G$2:$G$101, MATCH(ROW()-1-0.0001, Buildings!$G$2:$G$101, 1)), 0))</f>
        <v/>
      </c>
      <c r="K148" s="15">
        <f>IF(G148="","", CHOOSE(MIN(J148, 10), "First", "Second", "Third", "Fourth", "Fifth", "Sixth", "Seventh", "Eighth", "Ninth", "Tenth") &amp; " Floor")</f>
        <v/>
      </c>
      <c r="L148" s="13">
        <f>IF(G148="","",L147+IF(ISNUMBER(E148),E148,0))</f>
        <v/>
      </c>
    </row>
    <row r="149">
      <c r="A149" s="6">
        <f>IF(F149="","",IF(F149=F148,"",F149))</f>
        <v/>
      </c>
      <c r="B149" s="5">
        <f>IF(G149="","",IF(G149=G148,"",G149))</f>
        <v/>
      </c>
      <c r="C149" s="6">
        <f>IF(H149="","",IF(H149=H148,"",H149))</f>
        <v/>
      </c>
      <c r="D149" s="5">
        <f>IF(G149="","", I149 &amp; "-FL" &amp; TEXT(J149, "00"))</f>
        <v/>
      </c>
      <c r="E149" s="12" t="n"/>
      <c r="F149" s="15">
        <f>IF(ROW()-1&gt;SUM(Buildings!$D$2:$D$101), "", INDEX(Buildings!$F$2:$F$101, IFERROR(MATCH(ROW()-1-0.0001, Buildings!$G$2:$G$101, 1), 0)+1))</f>
        <v/>
      </c>
      <c r="G149" s="14">
        <f>IF(ROW()-1&gt;SUM(Buildings!$D$2:$D$101), "", INDEX(Buildings!$B$2:$B$101, IFERROR(MATCH(ROW()-1-0.0001, Buildings!$G$2:$G$101, 1), 0)+1))</f>
        <v/>
      </c>
      <c r="H149" s="15">
        <f>IF(ROW()-1&gt;SUM(Buildings!$D$2:$D$101), "", INDEX(Buildings!$C$2:$C$101, IFERROR(MATCH(ROW()-1-0.0001, Buildings!$G$2:$G$101, 1), 0)+1))</f>
        <v/>
      </c>
      <c r="I149" s="14">
        <f>IF(G149="","",VALUE(SUBSTITUTE(G149,"BLD","")))</f>
        <v/>
      </c>
      <c r="J149" s="14">
        <f>IF(G149="","", (ROW()-1)-IFERROR(INDEX(Buildings!$G$2:$G$101, MATCH(ROW()-1-0.0001, Buildings!$G$2:$G$101, 1)), 0))</f>
        <v/>
      </c>
      <c r="K149" s="15">
        <f>IF(G149="","", CHOOSE(MIN(J149, 10), "First", "Second", "Third", "Fourth", "Fifth", "Sixth", "Seventh", "Eighth", "Ninth", "Tenth") &amp; " Floor")</f>
        <v/>
      </c>
      <c r="L149" s="13">
        <f>IF(G149="","",L148+IF(ISNUMBER(E149),E149,0))</f>
        <v/>
      </c>
    </row>
    <row r="150">
      <c r="A150" s="6">
        <f>IF(F150="","",IF(F150=F149,"",F150))</f>
        <v/>
      </c>
      <c r="B150" s="5">
        <f>IF(G150="","",IF(G150=G149,"",G150))</f>
        <v/>
      </c>
      <c r="C150" s="6">
        <f>IF(H150="","",IF(H150=H149,"",H150))</f>
        <v/>
      </c>
      <c r="D150" s="5">
        <f>IF(G150="","", I150 &amp; "-FL" &amp; TEXT(J150, "00"))</f>
        <v/>
      </c>
      <c r="E150" s="12" t="n"/>
      <c r="F150" s="15">
        <f>IF(ROW()-1&gt;SUM(Buildings!$D$2:$D$101), "", INDEX(Buildings!$F$2:$F$101, IFERROR(MATCH(ROW()-1-0.0001, Buildings!$G$2:$G$101, 1), 0)+1))</f>
        <v/>
      </c>
      <c r="G150" s="14">
        <f>IF(ROW()-1&gt;SUM(Buildings!$D$2:$D$101), "", INDEX(Buildings!$B$2:$B$101, IFERROR(MATCH(ROW()-1-0.0001, Buildings!$G$2:$G$101, 1), 0)+1))</f>
        <v/>
      </c>
      <c r="H150" s="15">
        <f>IF(ROW()-1&gt;SUM(Buildings!$D$2:$D$101), "", INDEX(Buildings!$C$2:$C$101, IFERROR(MATCH(ROW()-1-0.0001, Buildings!$G$2:$G$101, 1), 0)+1))</f>
        <v/>
      </c>
      <c r="I150" s="14">
        <f>IF(G150="","",VALUE(SUBSTITUTE(G150,"BLD","")))</f>
        <v/>
      </c>
      <c r="J150" s="14">
        <f>IF(G150="","", (ROW()-1)-IFERROR(INDEX(Buildings!$G$2:$G$101, MATCH(ROW()-1-0.0001, Buildings!$G$2:$G$101, 1)), 0))</f>
        <v/>
      </c>
      <c r="K150" s="15">
        <f>IF(G150="","", CHOOSE(MIN(J150, 10), "First", "Second", "Third", "Fourth", "Fifth", "Sixth", "Seventh", "Eighth", "Ninth", "Tenth") &amp; " Floor")</f>
        <v/>
      </c>
      <c r="L150" s="13">
        <f>IF(G150="","",L149+IF(ISNUMBER(E150),E150,0))</f>
        <v/>
      </c>
    </row>
    <row r="151">
      <c r="A151" s="6">
        <f>IF(F151="","",IF(F151=F150,"",F151))</f>
        <v/>
      </c>
      <c r="B151" s="5">
        <f>IF(G151="","",IF(G151=G150,"",G151))</f>
        <v/>
      </c>
      <c r="C151" s="6">
        <f>IF(H151="","",IF(H151=H150,"",H151))</f>
        <v/>
      </c>
      <c r="D151" s="5">
        <f>IF(G151="","", I151 &amp; "-FL" &amp; TEXT(J151, "00"))</f>
        <v/>
      </c>
      <c r="E151" s="12" t="n"/>
      <c r="F151" s="15">
        <f>IF(ROW()-1&gt;SUM(Buildings!$D$2:$D$101), "", INDEX(Buildings!$F$2:$F$101, IFERROR(MATCH(ROW()-1-0.0001, Buildings!$G$2:$G$101, 1), 0)+1))</f>
        <v/>
      </c>
      <c r="G151" s="14">
        <f>IF(ROW()-1&gt;SUM(Buildings!$D$2:$D$101), "", INDEX(Buildings!$B$2:$B$101, IFERROR(MATCH(ROW()-1-0.0001, Buildings!$G$2:$G$101, 1), 0)+1))</f>
        <v/>
      </c>
      <c r="H151" s="15">
        <f>IF(ROW()-1&gt;SUM(Buildings!$D$2:$D$101), "", INDEX(Buildings!$C$2:$C$101, IFERROR(MATCH(ROW()-1-0.0001, Buildings!$G$2:$G$101, 1), 0)+1))</f>
        <v/>
      </c>
      <c r="I151" s="14">
        <f>IF(G151="","",VALUE(SUBSTITUTE(G151,"BLD","")))</f>
        <v/>
      </c>
      <c r="J151" s="14">
        <f>IF(G151="","", (ROW()-1)-IFERROR(INDEX(Buildings!$G$2:$G$101, MATCH(ROW()-1-0.0001, Buildings!$G$2:$G$101, 1)), 0))</f>
        <v/>
      </c>
      <c r="K151" s="15">
        <f>IF(G151="","", CHOOSE(MIN(J151, 10), "First", "Second", "Third", "Fourth", "Fifth", "Sixth", "Seventh", "Eighth", "Ninth", "Tenth") &amp; " Floor")</f>
        <v/>
      </c>
      <c r="L151" s="13">
        <f>IF(G151="","",L150+IF(ISNUMBER(E151),E151,0))</f>
        <v/>
      </c>
    </row>
    <row r="152">
      <c r="A152" s="6">
        <f>IF(F152="","",IF(F152=F151,"",F152))</f>
        <v/>
      </c>
      <c r="B152" s="5">
        <f>IF(G152="","",IF(G152=G151,"",G152))</f>
        <v/>
      </c>
      <c r="C152" s="6">
        <f>IF(H152="","",IF(H152=H151,"",H152))</f>
        <v/>
      </c>
      <c r="D152" s="5">
        <f>IF(G152="","", I152 &amp; "-FL" &amp; TEXT(J152, "00"))</f>
        <v/>
      </c>
      <c r="E152" s="12" t="n"/>
      <c r="F152" s="15">
        <f>IF(ROW()-1&gt;SUM(Buildings!$D$2:$D$101), "", INDEX(Buildings!$F$2:$F$101, IFERROR(MATCH(ROW()-1-0.0001, Buildings!$G$2:$G$101, 1), 0)+1))</f>
        <v/>
      </c>
      <c r="G152" s="14">
        <f>IF(ROW()-1&gt;SUM(Buildings!$D$2:$D$101), "", INDEX(Buildings!$B$2:$B$101, IFERROR(MATCH(ROW()-1-0.0001, Buildings!$G$2:$G$101, 1), 0)+1))</f>
        <v/>
      </c>
      <c r="H152" s="15">
        <f>IF(ROW()-1&gt;SUM(Buildings!$D$2:$D$101), "", INDEX(Buildings!$C$2:$C$101, IFERROR(MATCH(ROW()-1-0.0001, Buildings!$G$2:$G$101, 1), 0)+1))</f>
        <v/>
      </c>
      <c r="I152" s="14">
        <f>IF(G152="","",VALUE(SUBSTITUTE(G152,"BLD","")))</f>
        <v/>
      </c>
      <c r="J152" s="14">
        <f>IF(G152="","", (ROW()-1)-IFERROR(INDEX(Buildings!$G$2:$G$101, MATCH(ROW()-1-0.0001, Buildings!$G$2:$G$101, 1)), 0))</f>
        <v/>
      </c>
      <c r="K152" s="15">
        <f>IF(G152="","", CHOOSE(MIN(J152, 10), "First", "Second", "Third", "Fourth", "Fifth", "Sixth", "Seventh", "Eighth", "Ninth", "Tenth") &amp; " Floor")</f>
        <v/>
      </c>
      <c r="L152" s="13">
        <f>IF(G152="","",L151+IF(ISNUMBER(E152),E152,0))</f>
        <v/>
      </c>
    </row>
    <row r="153">
      <c r="A153" s="6">
        <f>IF(F153="","",IF(F153=F152,"",F153))</f>
        <v/>
      </c>
      <c r="B153" s="5">
        <f>IF(G153="","",IF(G153=G152,"",G153))</f>
        <v/>
      </c>
      <c r="C153" s="6">
        <f>IF(H153="","",IF(H153=H152,"",H153))</f>
        <v/>
      </c>
      <c r="D153" s="5">
        <f>IF(G153="","", I153 &amp; "-FL" &amp; TEXT(J153, "00"))</f>
        <v/>
      </c>
      <c r="E153" s="12" t="n"/>
      <c r="F153" s="15">
        <f>IF(ROW()-1&gt;SUM(Buildings!$D$2:$D$101), "", INDEX(Buildings!$F$2:$F$101, IFERROR(MATCH(ROW()-1-0.0001, Buildings!$G$2:$G$101, 1), 0)+1))</f>
        <v/>
      </c>
      <c r="G153" s="14">
        <f>IF(ROW()-1&gt;SUM(Buildings!$D$2:$D$101), "", INDEX(Buildings!$B$2:$B$101, IFERROR(MATCH(ROW()-1-0.0001, Buildings!$G$2:$G$101, 1), 0)+1))</f>
        <v/>
      </c>
      <c r="H153" s="15">
        <f>IF(ROW()-1&gt;SUM(Buildings!$D$2:$D$101), "", INDEX(Buildings!$C$2:$C$101, IFERROR(MATCH(ROW()-1-0.0001, Buildings!$G$2:$G$101, 1), 0)+1))</f>
        <v/>
      </c>
      <c r="I153" s="14">
        <f>IF(G153="","",VALUE(SUBSTITUTE(G153,"BLD","")))</f>
        <v/>
      </c>
      <c r="J153" s="14">
        <f>IF(G153="","", (ROW()-1)-IFERROR(INDEX(Buildings!$G$2:$G$101, MATCH(ROW()-1-0.0001, Buildings!$G$2:$G$101, 1)), 0))</f>
        <v/>
      </c>
      <c r="K153" s="15">
        <f>IF(G153="","", CHOOSE(MIN(J153, 10), "First", "Second", "Third", "Fourth", "Fifth", "Sixth", "Seventh", "Eighth", "Ninth", "Tenth") &amp; " Floor")</f>
        <v/>
      </c>
      <c r="L153" s="13">
        <f>IF(G153="","",L152+IF(ISNUMBER(E153),E153,0))</f>
        <v/>
      </c>
    </row>
    <row r="154">
      <c r="A154" s="6">
        <f>IF(F154="","",IF(F154=F153,"",F154))</f>
        <v/>
      </c>
      <c r="B154" s="5">
        <f>IF(G154="","",IF(G154=G153,"",G154))</f>
        <v/>
      </c>
      <c r="C154" s="6">
        <f>IF(H154="","",IF(H154=H153,"",H154))</f>
        <v/>
      </c>
      <c r="D154" s="5">
        <f>IF(G154="","", I154 &amp; "-FL" &amp; TEXT(J154, "00"))</f>
        <v/>
      </c>
      <c r="E154" s="12" t="n"/>
      <c r="F154" s="15">
        <f>IF(ROW()-1&gt;SUM(Buildings!$D$2:$D$101), "", INDEX(Buildings!$F$2:$F$101, IFERROR(MATCH(ROW()-1-0.0001, Buildings!$G$2:$G$101, 1), 0)+1))</f>
        <v/>
      </c>
      <c r="G154" s="14">
        <f>IF(ROW()-1&gt;SUM(Buildings!$D$2:$D$101), "", INDEX(Buildings!$B$2:$B$101, IFERROR(MATCH(ROW()-1-0.0001, Buildings!$G$2:$G$101, 1), 0)+1))</f>
        <v/>
      </c>
      <c r="H154" s="15">
        <f>IF(ROW()-1&gt;SUM(Buildings!$D$2:$D$101), "", INDEX(Buildings!$C$2:$C$101, IFERROR(MATCH(ROW()-1-0.0001, Buildings!$G$2:$G$101, 1), 0)+1))</f>
        <v/>
      </c>
      <c r="I154" s="14">
        <f>IF(G154="","",VALUE(SUBSTITUTE(G154,"BLD","")))</f>
        <v/>
      </c>
      <c r="J154" s="14">
        <f>IF(G154="","", (ROW()-1)-IFERROR(INDEX(Buildings!$G$2:$G$101, MATCH(ROW()-1-0.0001, Buildings!$G$2:$G$101, 1)), 0))</f>
        <v/>
      </c>
      <c r="K154" s="15">
        <f>IF(G154="","", CHOOSE(MIN(J154, 10), "First", "Second", "Third", "Fourth", "Fifth", "Sixth", "Seventh", "Eighth", "Ninth", "Tenth") &amp; " Floor")</f>
        <v/>
      </c>
      <c r="L154" s="13">
        <f>IF(G154="","",L153+IF(ISNUMBER(E154),E154,0))</f>
        <v/>
      </c>
    </row>
    <row r="155">
      <c r="A155" s="6">
        <f>IF(F155="","",IF(F155=F154,"",F155))</f>
        <v/>
      </c>
      <c r="B155" s="5">
        <f>IF(G155="","",IF(G155=G154,"",G155))</f>
        <v/>
      </c>
      <c r="C155" s="6">
        <f>IF(H155="","",IF(H155=H154,"",H155))</f>
        <v/>
      </c>
      <c r="D155" s="5">
        <f>IF(G155="","", I155 &amp; "-FL" &amp; TEXT(J155, "00"))</f>
        <v/>
      </c>
      <c r="E155" s="12" t="n"/>
      <c r="F155" s="15">
        <f>IF(ROW()-1&gt;SUM(Buildings!$D$2:$D$101), "", INDEX(Buildings!$F$2:$F$101, IFERROR(MATCH(ROW()-1-0.0001, Buildings!$G$2:$G$101, 1), 0)+1))</f>
        <v/>
      </c>
      <c r="G155" s="14">
        <f>IF(ROW()-1&gt;SUM(Buildings!$D$2:$D$101), "", INDEX(Buildings!$B$2:$B$101, IFERROR(MATCH(ROW()-1-0.0001, Buildings!$G$2:$G$101, 1), 0)+1))</f>
        <v/>
      </c>
      <c r="H155" s="15">
        <f>IF(ROW()-1&gt;SUM(Buildings!$D$2:$D$101), "", INDEX(Buildings!$C$2:$C$101, IFERROR(MATCH(ROW()-1-0.0001, Buildings!$G$2:$G$101, 1), 0)+1))</f>
        <v/>
      </c>
      <c r="I155" s="14">
        <f>IF(G155="","",VALUE(SUBSTITUTE(G155,"BLD","")))</f>
        <v/>
      </c>
      <c r="J155" s="14">
        <f>IF(G155="","", (ROW()-1)-IFERROR(INDEX(Buildings!$G$2:$G$101, MATCH(ROW()-1-0.0001, Buildings!$G$2:$G$101, 1)), 0))</f>
        <v/>
      </c>
      <c r="K155" s="15">
        <f>IF(G155="","", CHOOSE(MIN(J155, 10), "First", "Second", "Third", "Fourth", "Fifth", "Sixth", "Seventh", "Eighth", "Ninth", "Tenth") &amp; " Floor")</f>
        <v/>
      </c>
      <c r="L155" s="13">
        <f>IF(G155="","",L154+IF(ISNUMBER(E155),E155,0))</f>
        <v/>
      </c>
    </row>
    <row r="156">
      <c r="A156" s="6">
        <f>IF(F156="","",IF(F156=F155,"",F156))</f>
        <v/>
      </c>
      <c r="B156" s="5">
        <f>IF(G156="","",IF(G156=G155,"",G156))</f>
        <v/>
      </c>
      <c r="C156" s="6">
        <f>IF(H156="","",IF(H156=H155,"",H156))</f>
        <v/>
      </c>
      <c r="D156" s="5">
        <f>IF(G156="","", I156 &amp; "-FL" &amp; TEXT(J156, "00"))</f>
        <v/>
      </c>
      <c r="E156" s="12" t="n"/>
      <c r="F156" s="15">
        <f>IF(ROW()-1&gt;SUM(Buildings!$D$2:$D$101), "", INDEX(Buildings!$F$2:$F$101, IFERROR(MATCH(ROW()-1-0.0001, Buildings!$G$2:$G$101, 1), 0)+1))</f>
        <v/>
      </c>
      <c r="G156" s="14">
        <f>IF(ROW()-1&gt;SUM(Buildings!$D$2:$D$101), "", INDEX(Buildings!$B$2:$B$101, IFERROR(MATCH(ROW()-1-0.0001, Buildings!$G$2:$G$101, 1), 0)+1))</f>
        <v/>
      </c>
      <c r="H156" s="15">
        <f>IF(ROW()-1&gt;SUM(Buildings!$D$2:$D$101), "", INDEX(Buildings!$C$2:$C$101, IFERROR(MATCH(ROW()-1-0.0001, Buildings!$G$2:$G$101, 1), 0)+1))</f>
        <v/>
      </c>
      <c r="I156" s="14">
        <f>IF(G156="","",VALUE(SUBSTITUTE(G156,"BLD","")))</f>
        <v/>
      </c>
      <c r="J156" s="14">
        <f>IF(G156="","", (ROW()-1)-IFERROR(INDEX(Buildings!$G$2:$G$101, MATCH(ROW()-1-0.0001, Buildings!$G$2:$G$101, 1)), 0))</f>
        <v/>
      </c>
      <c r="K156" s="15">
        <f>IF(G156="","", CHOOSE(MIN(J156, 10), "First", "Second", "Third", "Fourth", "Fifth", "Sixth", "Seventh", "Eighth", "Ninth", "Tenth") &amp; " Floor")</f>
        <v/>
      </c>
      <c r="L156" s="13">
        <f>IF(G156="","",L155+IF(ISNUMBER(E156),E156,0))</f>
        <v/>
      </c>
    </row>
    <row r="157">
      <c r="A157" s="6">
        <f>IF(F157="","",IF(F157=F156,"",F157))</f>
        <v/>
      </c>
      <c r="B157" s="5">
        <f>IF(G157="","",IF(G157=G156,"",G157))</f>
        <v/>
      </c>
      <c r="C157" s="6">
        <f>IF(H157="","",IF(H157=H156,"",H157))</f>
        <v/>
      </c>
      <c r="D157" s="5">
        <f>IF(G157="","", I157 &amp; "-FL" &amp; TEXT(J157, "00"))</f>
        <v/>
      </c>
      <c r="E157" s="12" t="n"/>
      <c r="F157" s="15">
        <f>IF(ROW()-1&gt;SUM(Buildings!$D$2:$D$101), "", INDEX(Buildings!$F$2:$F$101, IFERROR(MATCH(ROW()-1-0.0001, Buildings!$G$2:$G$101, 1), 0)+1))</f>
        <v/>
      </c>
      <c r="G157" s="14">
        <f>IF(ROW()-1&gt;SUM(Buildings!$D$2:$D$101), "", INDEX(Buildings!$B$2:$B$101, IFERROR(MATCH(ROW()-1-0.0001, Buildings!$G$2:$G$101, 1), 0)+1))</f>
        <v/>
      </c>
      <c r="H157" s="15">
        <f>IF(ROW()-1&gt;SUM(Buildings!$D$2:$D$101), "", INDEX(Buildings!$C$2:$C$101, IFERROR(MATCH(ROW()-1-0.0001, Buildings!$G$2:$G$101, 1), 0)+1))</f>
        <v/>
      </c>
      <c r="I157" s="14">
        <f>IF(G157="","",VALUE(SUBSTITUTE(G157,"BLD","")))</f>
        <v/>
      </c>
      <c r="J157" s="14">
        <f>IF(G157="","", (ROW()-1)-IFERROR(INDEX(Buildings!$G$2:$G$101, MATCH(ROW()-1-0.0001, Buildings!$G$2:$G$101, 1)), 0))</f>
        <v/>
      </c>
      <c r="K157" s="15">
        <f>IF(G157="","", CHOOSE(MIN(J157, 10), "First", "Second", "Third", "Fourth", "Fifth", "Sixth", "Seventh", "Eighth", "Ninth", "Tenth") &amp; " Floor")</f>
        <v/>
      </c>
      <c r="L157" s="13">
        <f>IF(G157="","",L156+IF(ISNUMBER(E157),E157,0))</f>
        <v/>
      </c>
    </row>
    <row r="158">
      <c r="A158" s="6">
        <f>IF(F158="","",IF(F158=F157,"",F158))</f>
        <v/>
      </c>
      <c r="B158" s="5">
        <f>IF(G158="","",IF(G158=G157,"",G158))</f>
        <v/>
      </c>
      <c r="C158" s="6">
        <f>IF(H158="","",IF(H158=H157,"",H158))</f>
        <v/>
      </c>
      <c r="D158" s="5">
        <f>IF(G158="","", I158 &amp; "-FL" &amp; TEXT(J158, "00"))</f>
        <v/>
      </c>
      <c r="E158" s="12" t="n"/>
      <c r="F158" s="15">
        <f>IF(ROW()-1&gt;SUM(Buildings!$D$2:$D$101), "", INDEX(Buildings!$F$2:$F$101, IFERROR(MATCH(ROW()-1-0.0001, Buildings!$G$2:$G$101, 1), 0)+1))</f>
        <v/>
      </c>
      <c r="G158" s="14">
        <f>IF(ROW()-1&gt;SUM(Buildings!$D$2:$D$101), "", INDEX(Buildings!$B$2:$B$101, IFERROR(MATCH(ROW()-1-0.0001, Buildings!$G$2:$G$101, 1), 0)+1))</f>
        <v/>
      </c>
      <c r="H158" s="15">
        <f>IF(ROW()-1&gt;SUM(Buildings!$D$2:$D$101), "", INDEX(Buildings!$C$2:$C$101, IFERROR(MATCH(ROW()-1-0.0001, Buildings!$G$2:$G$101, 1), 0)+1))</f>
        <v/>
      </c>
      <c r="I158" s="14">
        <f>IF(G158="","",VALUE(SUBSTITUTE(G158,"BLD","")))</f>
        <v/>
      </c>
      <c r="J158" s="14">
        <f>IF(G158="","", (ROW()-1)-IFERROR(INDEX(Buildings!$G$2:$G$101, MATCH(ROW()-1-0.0001, Buildings!$G$2:$G$101, 1)), 0))</f>
        <v/>
      </c>
      <c r="K158" s="15">
        <f>IF(G158="","", CHOOSE(MIN(J158, 10), "First", "Second", "Third", "Fourth", "Fifth", "Sixth", "Seventh", "Eighth", "Ninth", "Tenth") &amp; " Floor")</f>
        <v/>
      </c>
      <c r="L158" s="13">
        <f>IF(G158="","",L157+IF(ISNUMBER(E158),E158,0))</f>
        <v/>
      </c>
    </row>
    <row r="159">
      <c r="A159" s="6">
        <f>IF(F159="","",IF(F159=F158,"",F159))</f>
        <v/>
      </c>
      <c r="B159" s="5">
        <f>IF(G159="","",IF(G159=G158,"",G159))</f>
        <v/>
      </c>
      <c r="C159" s="6">
        <f>IF(H159="","",IF(H159=H158,"",H159))</f>
        <v/>
      </c>
      <c r="D159" s="5">
        <f>IF(G159="","", I159 &amp; "-FL" &amp; TEXT(J159, "00"))</f>
        <v/>
      </c>
      <c r="E159" s="12" t="n"/>
      <c r="F159" s="15">
        <f>IF(ROW()-1&gt;SUM(Buildings!$D$2:$D$101), "", INDEX(Buildings!$F$2:$F$101, IFERROR(MATCH(ROW()-1-0.0001, Buildings!$G$2:$G$101, 1), 0)+1))</f>
        <v/>
      </c>
      <c r="G159" s="14">
        <f>IF(ROW()-1&gt;SUM(Buildings!$D$2:$D$101), "", INDEX(Buildings!$B$2:$B$101, IFERROR(MATCH(ROW()-1-0.0001, Buildings!$G$2:$G$101, 1), 0)+1))</f>
        <v/>
      </c>
      <c r="H159" s="15">
        <f>IF(ROW()-1&gt;SUM(Buildings!$D$2:$D$101), "", INDEX(Buildings!$C$2:$C$101, IFERROR(MATCH(ROW()-1-0.0001, Buildings!$G$2:$G$101, 1), 0)+1))</f>
        <v/>
      </c>
      <c r="I159" s="14">
        <f>IF(G159="","",VALUE(SUBSTITUTE(G159,"BLD","")))</f>
        <v/>
      </c>
      <c r="J159" s="14">
        <f>IF(G159="","", (ROW()-1)-IFERROR(INDEX(Buildings!$G$2:$G$101, MATCH(ROW()-1-0.0001, Buildings!$G$2:$G$101, 1)), 0))</f>
        <v/>
      </c>
      <c r="K159" s="15">
        <f>IF(G159="","", CHOOSE(MIN(J159, 10), "First", "Second", "Third", "Fourth", "Fifth", "Sixth", "Seventh", "Eighth", "Ninth", "Tenth") &amp; " Floor")</f>
        <v/>
      </c>
      <c r="L159" s="13">
        <f>IF(G159="","",L158+IF(ISNUMBER(E159),E159,0))</f>
        <v/>
      </c>
    </row>
    <row r="160">
      <c r="A160" s="6">
        <f>IF(F160="","",IF(F160=F159,"",F160))</f>
        <v/>
      </c>
      <c r="B160" s="5">
        <f>IF(G160="","",IF(G160=G159,"",G160))</f>
        <v/>
      </c>
      <c r="C160" s="6">
        <f>IF(H160="","",IF(H160=H159,"",H160))</f>
        <v/>
      </c>
      <c r="D160" s="5">
        <f>IF(G160="","", I160 &amp; "-FL" &amp; TEXT(J160, "00"))</f>
        <v/>
      </c>
      <c r="E160" s="12" t="n"/>
      <c r="F160" s="15">
        <f>IF(ROW()-1&gt;SUM(Buildings!$D$2:$D$101), "", INDEX(Buildings!$F$2:$F$101, IFERROR(MATCH(ROW()-1-0.0001, Buildings!$G$2:$G$101, 1), 0)+1))</f>
        <v/>
      </c>
      <c r="G160" s="14">
        <f>IF(ROW()-1&gt;SUM(Buildings!$D$2:$D$101), "", INDEX(Buildings!$B$2:$B$101, IFERROR(MATCH(ROW()-1-0.0001, Buildings!$G$2:$G$101, 1), 0)+1))</f>
        <v/>
      </c>
      <c r="H160" s="15">
        <f>IF(ROW()-1&gt;SUM(Buildings!$D$2:$D$101), "", INDEX(Buildings!$C$2:$C$101, IFERROR(MATCH(ROW()-1-0.0001, Buildings!$G$2:$G$101, 1), 0)+1))</f>
        <v/>
      </c>
      <c r="I160" s="14">
        <f>IF(G160="","",VALUE(SUBSTITUTE(G160,"BLD","")))</f>
        <v/>
      </c>
      <c r="J160" s="14">
        <f>IF(G160="","", (ROW()-1)-IFERROR(INDEX(Buildings!$G$2:$G$101, MATCH(ROW()-1-0.0001, Buildings!$G$2:$G$101, 1)), 0))</f>
        <v/>
      </c>
      <c r="K160" s="15">
        <f>IF(G160="","", CHOOSE(MIN(J160, 10), "First", "Second", "Third", "Fourth", "Fifth", "Sixth", "Seventh", "Eighth", "Ninth", "Tenth") &amp; " Floor")</f>
        <v/>
      </c>
      <c r="L160" s="13">
        <f>IF(G160="","",L159+IF(ISNUMBER(E160),E160,0))</f>
        <v/>
      </c>
    </row>
    <row r="161">
      <c r="A161" s="6">
        <f>IF(F161="","",IF(F161=F160,"",F161))</f>
        <v/>
      </c>
      <c r="B161" s="5">
        <f>IF(G161="","",IF(G161=G160,"",G161))</f>
        <v/>
      </c>
      <c r="C161" s="6">
        <f>IF(H161="","",IF(H161=H160,"",H161))</f>
        <v/>
      </c>
      <c r="D161" s="5">
        <f>IF(G161="","", I161 &amp; "-FL" &amp; TEXT(J161, "00"))</f>
        <v/>
      </c>
      <c r="E161" s="12" t="n"/>
      <c r="F161" s="15">
        <f>IF(ROW()-1&gt;SUM(Buildings!$D$2:$D$101), "", INDEX(Buildings!$F$2:$F$101, IFERROR(MATCH(ROW()-1-0.0001, Buildings!$G$2:$G$101, 1), 0)+1))</f>
        <v/>
      </c>
      <c r="G161" s="14">
        <f>IF(ROW()-1&gt;SUM(Buildings!$D$2:$D$101), "", INDEX(Buildings!$B$2:$B$101, IFERROR(MATCH(ROW()-1-0.0001, Buildings!$G$2:$G$101, 1), 0)+1))</f>
        <v/>
      </c>
      <c r="H161" s="15">
        <f>IF(ROW()-1&gt;SUM(Buildings!$D$2:$D$101), "", INDEX(Buildings!$C$2:$C$101, IFERROR(MATCH(ROW()-1-0.0001, Buildings!$G$2:$G$101, 1), 0)+1))</f>
        <v/>
      </c>
      <c r="I161" s="14">
        <f>IF(G161="","",VALUE(SUBSTITUTE(G161,"BLD","")))</f>
        <v/>
      </c>
      <c r="J161" s="14">
        <f>IF(G161="","", (ROW()-1)-IFERROR(INDEX(Buildings!$G$2:$G$101, MATCH(ROW()-1-0.0001, Buildings!$G$2:$G$101, 1)), 0))</f>
        <v/>
      </c>
      <c r="K161" s="15">
        <f>IF(G161="","", CHOOSE(MIN(J161, 10), "First", "Second", "Third", "Fourth", "Fifth", "Sixth", "Seventh", "Eighth", "Ninth", "Tenth") &amp; " Floor")</f>
        <v/>
      </c>
      <c r="L161" s="13">
        <f>IF(G161="","",L160+IF(ISNUMBER(E161),E161,0))</f>
        <v/>
      </c>
    </row>
    <row r="162">
      <c r="A162" s="6">
        <f>IF(F162="","",IF(F162=F161,"",F162))</f>
        <v/>
      </c>
      <c r="B162" s="5">
        <f>IF(G162="","",IF(G162=G161,"",G162))</f>
        <v/>
      </c>
      <c r="C162" s="6">
        <f>IF(H162="","",IF(H162=H161,"",H162))</f>
        <v/>
      </c>
      <c r="D162" s="5">
        <f>IF(G162="","", I162 &amp; "-FL" &amp; TEXT(J162, "00"))</f>
        <v/>
      </c>
      <c r="E162" s="12" t="n"/>
      <c r="F162" s="15">
        <f>IF(ROW()-1&gt;SUM(Buildings!$D$2:$D$101), "", INDEX(Buildings!$F$2:$F$101, IFERROR(MATCH(ROW()-1-0.0001, Buildings!$G$2:$G$101, 1), 0)+1))</f>
        <v/>
      </c>
      <c r="G162" s="14">
        <f>IF(ROW()-1&gt;SUM(Buildings!$D$2:$D$101), "", INDEX(Buildings!$B$2:$B$101, IFERROR(MATCH(ROW()-1-0.0001, Buildings!$G$2:$G$101, 1), 0)+1))</f>
        <v/>
      </c>
      <c r="H162" s="15">
        <f>IF(ROW()-1&gt;SUM(Buildings!$D$2:$D$101), "", INDEX(Buildings!$C$2:$C$101, IFERROR(MATCH(ROW()-1-0.0001, Buildings!$G$2:$G$101, 1), 0)+1))</f>
        <v/>
      </c>
      <c r="I162" s="14">
        <f>IF(G162="","",VALUE(SUBSTITUTE(G162,"BLD","")))</f>
        <v/>
      </c>
      <c r="J162" s="14">
        <f>IF(G162="","", (ROW()-1)-IFERROR(INDEX(Buildings!$G$2:$G$101, MATCH(ROW()-1-0.0001, Buildings!$G$2:$G$101, 1)), 0))</f>
        <v/>
      </c>
      <c r="K162" s="15">
        <f>IF(G162="","", CHOOSE(MIN(J162, 10), "First", "Second", "Third", "Fourth", "Fifth", "Sixth", "Seventh", "Eighth", "Ninth", "Tenth") &amp; " Floor")</f>
        <v/>
      </c>
      <c r="L162" s="13">
        <f>IF(G162="","",L161+IF(ISNUMBER(E162),E162,0))</f>
        <v/>
      </c>
    </row>
    <row r="163">
      <c r="A163" s="6">
        <f>IF(F163="","",IF(F163=F162,"",F163))</f>
        <v/>
      </c>
      <c r="B163" s="5">
        <f>IF(G163="","",IF(G163=G162,"",G163))</f>
        <v/>
      </c>
      <c r="C163" s="6">
        <f>IF(H163="","",IF(H163=H162,"",H163))</f>
        <v/>
      </c>
      <c r="D163" s="5">
        <f>IF(G163="","", I163 &amp; "-FL" &amp; TEXT(J163, "00"))</f>
        <v/>
      </c>
      <c r="E163" s="12" t="n"/>
      <c r="F163" s="15">
        <f>IF(ROW()-1&gt;SUM(Buildings!$D$2:$D$101), "", INDEX(Buildings!$F$2:$F$101, IFERROR(MATCH(ROW()-1-0.0001, Buildings!$G$2:$G$101, 1), 0)+1))</f>
        <v/>
      </c>
      <c r="G163" s="14">
        <f>IF(ROW()-1&gt;SUM(Buildings!$D$2:$D$101), "", INDEX(Buildings!$B$2:$B$101, IFERROR(MATCH(ROW()-1-0.0001, Buildings!$G$2:$G$101, 1), 0)+1))</f>
        <v/>
      </c>
      <c r="H163" s="15">
        <f>IF(ROW()-1&gt;SUM(Buildings!$D$2:$D$101), "", INDEX(Buildings!$C$2:$C$101, IFERROR(MATCH(ROW()-1-0.0001, Buildings!$G$2:$G$101, 1), 0)+1))</f>
        <v/>
      </c>
      <c r="I163" s="14">
        <f>IF(G163="","",VALUE(SUBSTITUTE(G163,"BLD","")))</f>
        <v/>
      </c>
      <c r="J163" s="14">
        <f>IF(G163="","", (ROW()-1)-IFERROR(INDEX(Buildings!$G$2:$G$101, MATCH(ROW()-1-0.0001, Buildings!$G$2:$G$101, 1)), 0))</f>
        <v/>
      </c>
      <c r="K163" s="15">
        <f>IF(G163="","", CHOOSE(MIN(J163, 10), "First", "Second", "Third", "Fourth", "Fifth", "Sixth", "Seventh", "Eighth", "Ninth", "Tenth") &amp; " Floor")</f>
        <v/>
      </c>
      <c r="L163" s="13">
        <f>IF(G163="","",L162+IF(ISNUMBER(E163),E163,0))</f>
        <v/>
      </c>
    </row>
    <row r="164">
      <c r="A164" s="6">
        <f>IF(F164="","",IF(F164=F163,"",F164))</f>
        <v/>
      </c>
      <c r="B164" s="5">
        <f>IF(G164="","",IF(G164=G163,"",G164))</f>
        <v/>
      </c>
      <c r="C164" s="6">
        <f>IF(H164="","",IF(H164=H163,"",H164))</f>
        <v/>
      </c>
      <c r="D164" s="5">
        <f>IF(G164="","", I164 &amp; "-FL" &amp; TEXT(J164, "00"))</f>
        <v/>
      </c>
      <c r="E164" s="12" t="n"/>
      <c r="F164" s="15">
        <f>IF(ROW()-1&gt;SUM(Buildings!$D$2:$D$101), "", INDEX(Buildings!$F$2:$F$101, IFERROR(MATCH(ROW()-1-0.0001, Buildings!$G$2:$G$101, 1), 0)+1))</f>
        <v/>
      </c>
      <c r="G164" s="14">
        <f>IF(ROW()-1&gt;SUM(Buildings!$D$2:$D$101), "", INDEX(Buildings!$B$2:$B$101, IFERROR(MATCH(ROW()-1-0.0001, Buildings!$G$2:$G$101, 1), 0)+1))</f>
        <v/>
      </c>
      <c r="H164" s="15">
        <f>IF(ROW()-1&gt;SUM(Buildings!$D$2:$D$101), "", INDEX(Buildings!$C$2:$C$101, IFERROR(MATCH(ROW()-1-0.0001, Buildings!$G$2:$G$101, 1), 0)+1))</f>
        <v/>
      </c>
      <c r="I164" s="14">
        <f>IF(G164="","",VALUE(SUBSTITUTE(G164,"BLD","")))</f>
        <v/>
      </c>
      <c r="J164" s="14">
        <f>IF(G164="","", (ROW()-1)-IFERROR(INDEX(Buildings!$G$2:$G$101, MATCH(ROW()-1-0.0001, Buildings!$G$2:$G$101, 1)), 0))</f>
        <v/>
      </c>
      <c r="K164" s="15">
        <f>IF(G164="","", CHOOSE(MIN(J164, 10), "First", "Second", "Third", "Fourth", "Fifth", "Sixth", "Seventh", "Eighth", "Ninth", "Tenth") &amp; " Floor")</f>
        <v/>
      </c>
      <c r="L164" s="13">
        <f>IF(G164="","",L163+IF(ISNUMBER(E164),E164,0))</f>
        <v/>
      </c>
    </row>
    <row r="165">
      <c r="A165" s="6">
        <f>IF(F165="","",IF(F165=F164,"",F165))</f>
        <v/>
      </c>
      <c r="B165" s="5">
        <f>IF(G165="","",IF(G165=G164,"",G165))</f>
        <v/>
      </c>
      <c r="C165" s="6">
        <f>IF(H165="","",IF(H165=H164,"",H165))</f>
        <v/>
      </c>
      <c r="D165" s="5">
        <f>IF(G165="","", I165 &amp; "-FL" &amp; TEXT(J165, "00"))</f>
        <v/>
      </c>
      <c r="E165" s="12" t="n"/>
      <c r="F165" s="15">
        <f>IF(ROW()-1&gt;SUM(Buildings!$D$2:$D$101), "", INDEX(Buildings!$F$2:$F$101, IFERROR(MATCH(ROW()-1-0.0001, Buildings!$G$2:$G$101, 1), 0)+1))</f>
        <v/>
      </c>
      <c r="G165" s="14">
        <f>IF(ROW()-1&gt;SUM(Buildings!$D$2:$D$101), "", INDEX(Buildings!$B$2:$B$101, IFERROR(MATCH(ROW()-1-0.0001, Buildings!$G$2:$G$101, 1), 0)+1))</f>
        <v/>
      </c>
      <c r="H165" s="15">
        <f>IF(ROW()-1&gt;SUM(Buildings!$D$2:$D$101), "", INDEX(Buildings!$C$2:$C$101, IFERROR(MATCH(ROW()-1-0.0001, Buildings!$G$2:$G$101, 1), 0)+1))</f>
        <v/>
      </c>
      <c r="I165" s="14">
        <f>IF(G165="","",VALUE(SUBSTITUTE(G165,"BLD","")))</f>
        <v/>
      </c>
      <c r="J165" s="14">
        <f>IF(G165="","", (ROW()-1)-IFERROR(INDEX(Buildings!$G$2:$G$101, MATCH(ROW()-1-0.0001, Buildings!$G$2:$G$101, 1)), 0))</f>
        <v/>
      </c>
      <c r="K165" s="15">
        <f>IF(G165="","", CHOOSE(MIN(J165, 10), "First", "Second", "Third", "Fourth", "Fifth", "Sixth", "Seventh", "Eighth", "Ninth", "Tenth") &amp; " Floor")</f>
        <v/>
      </c>
      <c r="L165" s="13">
        <f>IF(G165="","",L164+IF(ISNUMBER(E165),E165,0))</f>
        <v/>
      </c>
    </row>
    <row r="166">
      <c r="A166" s="6">
        <f>IF(F166="","",IF(F166=F165,"",F166))</f>
        <v/>
      </c>
      <c r="B166" s="5">
        <f>IF(G166="","",IF(G166=G165,"",G166))</f>
        <v/>
      </c>
      <c r="C166" s="6">
        <f>IF(H166="","",IF(H166=H165,"",H166))</f>
        <v/>
      </c>
      <c r="D166" s="5">
        <f>IF(G166="","", I166 &amp; "-FL" &amp; TEXT(J166, "00"))</f>
        <v/>
      </c>
      <c r="E166" s="12" t="n"/>
      <c r="F166" s="15">
        <f>IF(ROW()-1&gt;SUM(Buildings!$D$2:$D$101), "", INDEX(Buildings!$F$2:$F$101, IFERROR(MATCH(ROW()-1-0.0001, Buildings!$G$2:$G$101, 1), 0)+1))</f>
        <v/>
      </c>
      <c r="G166" s="14">
        <f>IF(ROW()-1&gt;SUM(Buildings!$D$2:$D$101), "", INDEX(Buildings!$B$2:$B$101, IFERROR(MATCH(ROW()-1-0.0001, Buildings!$G$2:$G$101, 1), 0)+1))</f>
        <v/>
      </c>
      <c r="H166" s="15">
        <f>IF(ROW()-1&gt;SUM(Buildings!$D$2:$D$101), "", INDEX(Buildings!$C$2:$C$101, IFERROR(MATCH(ROW()-1-0.0001, Buildings!$G$2:$G$101, 1), 0)+1))</f>
        <v/>
      </c>
      <c r="I166" s="14">
        <f>IF(G166="","",VALUE(SUBSTITUTE(G166,"BLD","")))</f>
        <v/>
      </c>
      <c r="J166" s="14">
        <f>IF(G166="","", (ROW()-1)-IFERROR(INDEX(Buildings!$G$2:$G$101, MATCH(ROW()-1-0.0001, Buildings!$G$2:$G$101, 1)), 0))</f>
        <v/>
      </c>
      <c r="K166" s="15">
        <f>IF(G166="","", CHOOSE(MIN(J166, 10), "First", "Second", "Third", "Fourth", "Fifth", "Sixth", "Seventh", "Eighth", "Ninth", "Tenth") &amp; " Floor")</f>
        <v/>
      </c>
      <c r="L166" s="13">
        <f>IF(G166="","",L165+IF(ISNUMBER(E166),E166,0))</f>
        <v/>
      </c>
    </row>
    <row r="167">
      <c r="A167" s="6">
        <f>IF(F167="","",IF(F167=F166,"",F167))</f>
        <v/>
      </c>
      <c r="B167" s="5">
        <f>IF(G167="","",IF(G167=G166,"",G167))</f>
        <v/>
      </c>
      <c r="C167" s="6">
        <f>IF(H167="","",IF(H167=H166,"",H167))</f>
        <v/>
      </c>
      <c r="D167" s="5">
        <f>IF(G167="","", I167 &amp; "-FL" &amp; TEXT(J167, "00"))</f>
        <v/>
      </c>
      <c r="E167" s="12" t="n"/>
      <c r="F167" s="15">
        <f>IF(ROW()-1&gt;SUM(Buildings!$D$2:$D$101), "", INDEX(Buildings!$F$2:$F$101, IFERROR(MATCH(ROW()-1-0.0001, Buildings!$G$2:$G$101, 1), 0)+1))</f>
        <v/>
      </c>
      <c r="G167" s="14">
        <f>IF(ROW()-1&gt;SUM(Buildings!$D$2:$D$101), "", INDEX(Buildings!$B$2:$B$101, IFERROR(MATCH(ROW()-1-0.0001, Buildings!$G$2:$G$101, 1), 0)+1))</f>
        <v/>
      </c>
      <c r="H167" s="15">
        <f>IF(ROW()-1&gt;SUM(Buildings!$D$2:$D$101), "", INDEX(Buildings!$C$2:$C$101, IFERROR(MATCH(ROW()-1-0.0001, Buildings!$G$2:$G$101, 1), 0)+1))</f>
        <v/>
      </c>
      <c r="I167" s="14">
        <f>IF(G167="","",VALUE(SUBSTITUTE(G167,"BLD","")))</f>
        <v/>
      </c>
      <c r="J167" s="14">
        <f>IF(G167="","", (ROW()-1)-IFERROR(INDEX(Buildings!$G$2:$G$101, MATCH(ROW()-1-0.0001, Buildings!$G$2:$G$101, 1)), 0))</f>
        <v/>
      </c>
      <c r="K167" s="15">
        <f>IF(G167="","", CHOOSE(MIN(J167, 10), "First", "Second", "Third", "Fourth", "Fifth", "Sixth", "Seventh", "Eighth", "Ninth", "Tenth") &amp; " Floor")</f>
        <v/>
      </c>
      <c r="L167" s="13">
        <f>IF(G167="","",L166+IF(ISNUMBER(E167),E167,0))</f>
        <v/>
      </c>
    </row>
    <row r="168">
      <c r="A168" s="6">
        <f>IF(F168="","",IF(F168=F167,"",F168))</f>
        <v/>
      </c>
      <c r="B168" s="5">
        <f>IF(G168="","",IF(G168=G167,"",G168))</f>
        <v/>
      </c>
      <c r="C168" s="6">
        <f>IF(H168="","",IF(H168=H167,"",H168))</f>
        <v/>
      </c>
      <c r="D168" s="5">
        <f>IF(G168="","", I168 &amp; "-FL" &amp; TEXT(J168, "00"))</f>
        <v/>
      </c>
      <c r="E168" s="12" t="n"/>
      <c r="F168" s="15">
        <f>IF(ROW()-1&gt;SUM(Buildings!$D$2:$D$101), "", INDEX(Buildings!$F$2:$F$101, IFERROR(MATCH(ROW()-1-0.0001, Buildings!$G$2:$G$101, 1), 0)+1))</f>
        <v/>
      </c>
      <c r="G168" s="14">
        <f>IF(ROW()-1&gt;SUM(Buildings!$D$2:$D$101), "", INDEX(Buildings!$B$2:$B$101, IFERROR(MATCH(ROW()-1-0.0001, Buildings!$G$2:$G$101, 1), 0)+1))</f>
        <v/>
      </c>
      <c r="H168" s="15">
        <f>IF(ROW()-1&gt;SUM(Buildings!$D$2:$D$101), "", INDEX(Buildings!$C$2:$C$101, IFERROR(MATCH(ROW()-1-0.0001, Buildings!$G$2:$G$101, 1), 0)+1))</f>
        <v/>
      </c>
      <c r="I168" s="14">
        <f>IF(G168="","",VALUE(SUBSTITUTE(G168,"BLD","")))</f>
        <v/>
      </c>
      <c r="J168" s="14">
        <f>IF(G168="","", (ROW()-1)-IFERROR(INDEX(Buildings!$G$2:$G$101, MATCH(ROW()-1-0.0001, Buildings!$G$2:$G$101, 1)), 0))</f>
        <v/>
      </c>
      <c r="K168" s="15">
        <f>IF(G168="","", CHOOSE(MIN(J168, 10), "First", "Second", "Third", "Fourth", "Fifth", "Sixth", "Seventh", "Eighth", "Ninth", "Tenth") &amp; " Floor")</f>
        <v/>
      </c>
      <c r="L168" s="13">
        <f>IF(G168="","",L167+IF(ISNUMBER(E168),E168,0))</f>
        <v/>
      </c>
    </row>
    <row r="169">
      <c r="A169" s="6">
        <f>IF(F169="","",IF(F169=F168,"",F169))</f>
        <v/>
      </c>
      <c r="B169" s="5">
        <f>IF(G169="","",IF(G169=G168,"",G169))</f>
        <v/>
      </c>
      <c r="C169" s="6">
        <f>IF(H169="","",IF(H169=H168,"",H169))</f>
        <v/>
      </c>
      <c r="D169" s="5">
        <f>IF(G169="","", I169 &amp; "-FL" &amp; TEXT(J169, "00"))</f>
        <v/>
      </c>
      <c r="E169" s="12" t="n"/>
      <c r="F169" s="15">
        <f>IF(ROW()-1&gt;SUM(Buildings!$D$2:$D$101), "", INDEX(Buildings!$F$2:$F$101, IFERROR(MATCH(ROW()-1-0.0001, Buildings!$G$2:$G$101, 1), 0)+1))</f>
        <v/>
      </c>
      <c r="G169" s="14">
        <f>IF(ROW()-1&gt;SUM(Buildings!$D$2:$D$101), "", INDEX(Buildings!$B$2:$B$101, IFERROR(MATCH(ROW()-1-0.0001, Buildings!$G$2:$G$101, 1), 0)+1))</f>
        <v/>
      </c>
      <c r="H169" s="15">
        <f>IF(ROW()-1&gt;SUM(Buildings!$D$2:$D$101), "", INDEX(Buildings!$C$2:$C$101, IFERROR(MATCH(ROW()-1-0.0001, Buildings!$G$2:$G$101, 1), 0)+1))</f>
        <v/>
      </c>
      <c r="I169" s="14">
        <f>IF(G169="","",VALUE(SUBSTITUTE(G169,"BLD","")))</f>
        <v/>
      </c>
      <c r="J169" s="14">
        <f>IF(G169="","", (ROW()-1)-IFERROR(INDEX(Buildings!$G$2:$G$101, MATCH(ROW()-1-0.0001, Buildings!$G$2:$G$101, 1)), 0))</f>
        <v/>
      </c>
      <c r="K169" s="15">
        <f>IF(G169="","", CHOOSE(MIN(J169, 10), "First", "Second", "Third", "Fourth", "Fifth", "Sixth", "Seventh", "Eighth", "Ninth", "Tenth") &amp; " Floor")</f>
        <v/>
      </c>
      <c r="L169" s="13">
        <f>IF(G169="","",L168+IF(ISNUMBER(E169),E169,0))</f>
        <v/>
      </c>
    </row>
    <row r="170">
      <c r="A170" s="6">
        <f>IF(F170="","",IF(F170=F169,"",F170))</f>
        <v/>
      </c>
      <c r="B170" s="5">
        <f>IF(G170="","",IF(G170=G169,"",G170))</f>
        <v/>
      </c>
      <c r="C170" s="6">
        <f>IF(H170="","",IF(H170=H169,"",H170))</f>
        <v/>
      </c>
      <c r="D170" s="5">
        <f>IF(G170="","", I170 &amp; "-FL" &amp; TEXT(J170, "00"))</f>
        <v/>
      </c>
      <c r="E170" s="12" t="n"/>
      <c r="F170" s="15">
        <f>IF(ROW()-1&gt;SUM(Buildings!$D$2:$D$101), "", INDEX(Buildings!$F$2:$F$101, IFERROR(MATCH(ROW()-1-0.0001, Buildings!$G$2:$G$101, 1), 0)+1))</f>
        <v/>
      </c>
      <c r="G170" s="14">
        <f>IF(ROW()-1&gt;SUM(Buildings!$D$2:$D$101), "", INDEX(Buildings!$B$2:$B$101, IFERROR(MATCH(ROW()-1-0.0001, Buildings!$G$2:$G$101, 1), 0)+1))</f>
        <v/>
      </c>
      <c r="H170" s="15">
        <f>IF(ROW()-1&gt;SUM(Buildings!$D$2:$D$101), "", INDEX(Buildings!$C$2:$C$101, IFERROR(MATCH(ROW()-1-0.0001, Buildings!$G$2:$G$101, 1), 0)+1))</f>
        <v/>
      </c>
      <c r="I170" s="14">
        <f>IF(G170="","",VALUE(SUBSTITUTE(G170,"BLD","")))</f>
        <v/>
      </c>
      <c r="J170" s="14">
        <f>IF(G170="","", (ROW()-1)-IFERROR(INDEX(Buildings!$G$2:$G$101, MATCH(ROW()-1-0.0001, Buildings!$G$2:$G$101, 1)), 0))</f>
        <v/>
      </c>
      <c r="K170" s="15">
        <f>IF(G170="","", CHOOSE(MIN(J170, 10), "First", "Second", "Third", "Fourth", "Fifth", "Sixth", "Seventh", "Eighth", "Ninth", "Tenth") &amp; " Floor")</f>
        <v/>
      </c>
      <c r="L170" s="13">
        <f>IF(G170="","",L169+IF(ISNUMBER(E170),E170,0))</f>
        <v/>
      </c>
    </row>
    <row r="171">
      <c r="A171" s="6">
        <f>IF(F171="","",IF(F171=F170,"",F171))</f>
        <v/>
      </c>
      <c r="B171" s="5">
        <f>IF(G171="","",IF(G171=G170,"",G171))</f>
        <v/>
      </c>
      <c r="C171" s="6">
        <f>IF(H171="","",IF(H171=H170,"",H171))</f>
        <v/>
      </c>
      <c r="D171" s="5">
        <f>IF(G171="","", I171 &amp; "-FL" &amp; TEXT(J171, "00"))</f>
        <v/>
      </c>
      <c r="E171" s="12" t="n"/>
      <c r="F171" s="15">
        <f>IF(ROW()-1&gt;SUM(Buildings!$D$2:$D$101), "", INDEX(Buildings!$F$2:$F$101, IFERROR(MATCH(ROW()-1-0.0001, Buildings!$G$2:$G$101, 1), 0)+1))</f>
        <v/>
      </c>
      <c r="G171" s="14">
        <f>IF(ROW()-1&gt;SUM(Buildings!$D$2:$D$101), "", INDEX(Buildings!$B$2:$B$101, IFERROR(MATCH(ROW()-1-0.0001, Buildings!$G$2:$G$101, 1), 0)+1))</f>
        <v/>
      </c>
      <c r="H171" s="15">
        <f>IF(ROW()-1&gt;SUM(Buildings!$D$2:$D$101), "", INDEX(Buildings!$C$2:$C$101, IFERROR(MATCH(ROW()-1-0.0001, Buildings!$G$2:$G$101, 1), 0)+1))</f>
        <v/>
      </c>
      <c r="I171" s="14">
        <f>IF(G171="","",VALUE(SUBSTITUTE(G171,"BLD","")))</f>
        <v/>
      </c>
      <c r="J171" s="14">
        <f>IF(G171="","", (ROW()-1)-IFERROR(INDEX(Buildings!$G$2:$G$101, MATCH(ROW()-1-0.0001, Buildings!$G$2:$G$101, 1)), 0))</f>
        <v/>
      </c>
      <c r="K171" s="15">
        <f>IF(G171="","", CHOOSE(MIN(J171, 10), "First", "Second", "Third", "Fourth", "Fifth", "Sixth", "Seventh", "Eighth", "Ninth", "Tenth") &amp; " Floor")</f>
        <v/>
      </c>
      <c r="L171" s="13">
        <f>IF(G171="","",L170+IF(ISNUMBER(E171),E171,0))</f>
        <v/>
      </c>
    </row>
    <row r="172">
      <c r="A172" s="6">
        <f>IF(F172="","",IF(F172=F171,"",F172))</f>
        <v/>
      </c>
      <c r="B172" s="5">
        <f>IF(G172="","",IF(G172=G171,"",G172))</f>
        <v/>
      </c>
      <c r="C172" s="6">
        <f>IF(H172="","",IF(H172=H171,"",H172))</f>
        <v/>
      </c>
      <c r="D172" s="5">
        <f>IF(G172="","", I172 &amp; "-FL" &amp; TEXT(J172, "00"))</f>
        <v/>
      </c>
      <c r="E172" s="12" t="n"/>
      <c r="F172" s="15">
        <f>IF(ROW()-1&gt;SUM(Buildings!$D$2:$D$101), "", INDEX(Buildings!$F$2:$F$101, IFERROR(MATCH(ROW()-1-0.0001, Buildings!$G$2:$G$101, 1), 0)+1))</f>
        <v/>
      </c>
      <c r="G172" s="14">
        <f>IF(ROW()-1&gt;SUM(Buildings!$D$2:$D$101), "", INDEX(Buildings!$B$2:$B$101, IFERROR(MATCH(ROW()-1-0.0001, Buildings!$G$2:$G$101, 1), 0)+1))</f>
        <v/>
      </c>
      <c r="H172" s="15">
        <f>IF(ROW()-1&gt;SUM(Buildings!$D$2:$D$101), "", INDEX(Buildings!$C$2:$C$101, IFERROR(MATCH(ROW()-1-0.0001, Buildings!$G$2:$G$101, 1), 0)+1))</f>
        <v/>
      </c>
      <c r="I172" s="14">
        <f>IF(G172="","",VALUE(SUBSTITUTE(G172,"BLD","")))</f>
        <v/>
      </c>
      <c r="J172" s="14">
        <f>IF(G172="","", (ROW()-1)-IFERROR(INDEX(Buildings!$G$2:$G$101, MATCH(ROW()-1-0.0001, Buildings!$G$2:$G$101, 1)), 0))</f>
        <v/>
      </c>
      <c r="K172" s="15">
        <f>IF(G172="","", CHOOSE(MIN(J172, 10), "First", "Second", "Third", "Fourth", "Fifth", "Sixth", "Seventh", "Eighth", "Ninth", "Tenth") &amp; " Floor")</f>
        <v/>
      </c>
      <c r="L172" s="13">
        <f>IF(G172="","",L171+IF(ISNUMBER(E172),E172,0))</f>
        <v/>
      </c>
    </row>
    <row r="173">
      <c r="A173" s="6">
        <f>IF(F173="","",IF(F173=F172,"",F173))</f>
        <v/>
      </c>
      <c r="B173" s="5">
        <f>IF(G173="","",IF(G173=G172,"",G173))</f>
        <v/>
      </c>
      <c r="C173" s="6">
        <f>IF(H173="","",IF(H173=H172,"",H173))</f>
        <v/>
      </c>
      <c r="D173" s="5">
        <f>IF(G173="","", I173 &amp; "-FL" &amp; TEXT(J173, "00"))</f>
        <v/>
      </c>
      <c r="E173" s="12" t="n"/>
      <c r="F173" s="15">
        <f>IF(ROW()-1&gt;SUM(Buildings!$D$2:$D$101), "", INDEX(Buildings!$F$2:$F$101, IFERROR(MATCH(ROW()-1-0.0001, Buildings!$G$2:$G$101, 1), 0)+1))</f>
        <v/>
      </c>
      <c r="G173" s="14">
        <f>IF(ROW()-1&gt;SUM(Buildings!$D$2:$D$101), "", INDEX(Buildings!$B$2:$B$101, IFERROR(MATCH(ROW()-1-0.0001, Buildings!$G$2:$G$101, 1), 0)+1))</f>
        <v/>
      </c>
      <c r="H173" s="15">
        <f>IF(ROW()-1&gt;SUM(Buildings!$D$2:$D$101), "", INDEX(Buildings!$C$2:$C$101, IFERROR(MATCH(ROW()-1-0.0001, Buildings!$G$2:$G$101, 1), 0)+1))</f>
        <v/>
      </c>
      <c r="I173" s="14">
        <f>IF(G173="","",VALUE(SUBSTITUTE(G173,"BLD","")))</f>
        <v/>
      </c>
      <c r="J173" s="14">
        <f>IF(G173="","", (ROW()-1)-IFERROR(INDEX(Buildings!$G$2:$G$101, MATCH(ROW()-1-0.0001, Buildings!$G$2:$G$101, 1)), 0))</f>
        <v/>
      </c>
      <c r="K173" s="15">
        <f>IF(G173="","", CHOOSE(MIN(J173, 10), "First", "Second", "Third", "Fourth", "Fifth", "Sixth", "Seventh", "Eighth", "Ninth", "Tenth") &amp; " Floor")</f>
        <v/>
      </c>
      <c r="L173" s="13">
        <f>IF(G173="","",L172+IF(ISNUMBER(E173),E173,0))</f>
        <v/>
      </c>
    </row>
    <row r="174">
      <c r="A174" s="6">
        <f>IF(F174="","",IF(F174=F173,"",F174))</f>
        <v/>
      </c>
      <c r="B174" s="5">
        <f>IF(G174="","",IF(G174=G173,"",G174))</f>
        <v/>
      </c>
      <c r="C174" s="6">
        <f>IF(H174="","",IF(H174=H173,"",H174))</f>
        <v/>
      </c>
      <c r="D174" s="5">
        <f>IF(G174="","", I174 &amp; "-FL" &amp; TEXT(J174, "00"))</f>
        <v/>
      </c>
      <c r="E174" s="12" t="n"/>
      <c r="F174" s="15">
        <f>IF(ROW()-1&gt;SUM(Buildings!$D$2:$D$101), "", INDEX(Buildings!$F$2:$F$101, IFERROR(MATCH(ROW()-1-0.0001, Buildings!$G$2:$G$101, 1), 0)+1))</f>
        <v/>
      </c>
      <c r="G174" s="14">
        <f>IF(ROW()-1&gt;SUM(Buildings!$D$2:$D$101), "", INDEX(Buildings!$B$2:$B$101, IFERROR(MATCH(ROW()-1-0.0001, Buildings!$G$2:$G$101, 1), 0)+1))</f>
        <v/>
      </c>
      <c r="H174" s="15">
        <f>IF(ROW()-1&gt;SUM(Buildings!$D$2:$D$101), "", INDEX(Buildings!$C$2:$C$101, IFERROR(MATCH(ROW()-1-0.0001, Buildings!$G$2:$G$101, 1), 0)+1))</f>
        <v/>
      </c>
      <c r="I174" s="14">
        <f>IF(G174="","",VALUE(SUBSTITUTE(G174,"BLD","")))</f>
        <v/>
      </c>
      <c r="J174" s="14">
        <f>IF(G174="","", (ROW()-1)-IFERROR(INDEX(Buildings!$G$2:$G$101, MATCH(ROW()-1-0.0001, Buildings!$G$2:$G$101, 1)), 0))</f>
        <v/>
      </c>
      <c r="K174" s="15">
        <f>IF(G174="","", CHOOSE(MIN(J174, 10), "First", "Second", "Third", "Fourth", "Fifth", "Sixth", "Seventh", "Eighth", "Ninth", "Tenth") &amp; " Floor")</f>
        <v/>
      </c>
      <c r="L174" s="13">
        <f>IF(G174="","",L173+IF(ISNUMBER(E174),E174,0))</f>
        <v/>
      </c>
    </row>
    <row r="175">
      <c r="A175" s="6">
        <f>IF(F175="","",IF(F175=F174,"",F175))</f>
        <v/>
      </c>
      <c r="B175" s="5">
        <f>IF(G175="","",IF(G175=G174,"",G175))</f>
        <v/>
      </c>
      <c r="C175" s="6">
        <f>IF(H175="","",IF(H175=H174,"",H175))</f>
        <v/>
      </c>
      <c r="D175" s="5">
        <f>IF(G175="","", I175 &amp; "-FL" &amp; TEXT(J175, "00"))</f>
        <v/>
      </c>
      <c r="E175" s="12" t="n"/>
      <c r="F175" s="15">
        <f>IF(ROW()-1&gt;SUM(Buildings!$D$2:$D$101), "", INDEX(Buildings!$F$2:$F$101, IFERROR(MATCH(ROW()-1-0.0001, Buildings!$G$2:$G$101, 1), 0)+1))</f>
        <v/>
      </c>
      <c r="G175" s="14">
        <f>IF(ROW()-1&gt;SUM(Buildings!$D$2:$D$101), "", INDEX(Buildings!$B$2:$B$101, IFERROR(MATCH(ROW()-1-0.0001, Buildings!$G$2:$G$101, 1), 0)+1))</f>
        <v/>
      </c>
      <c r="H175" s="15">
        <f>IF(ROW()-1&gt;SUM(Buildings!$D$2:$D$101), "", INDEX(Buildings!$C$2:$C$101, IFERROR(MATCH(ROW()-1-0.0001, Buildings!$G$2:$G$101, 1), 0)+1))</f>
        <v/>
      </c>
      <c r="I175" s="14">
        <f>IF(G175="","",VALUE(SUBSTITUTE(G175,"BLD","")))</f>
        <v/>
      </c>
      <c r="J175" s="14">
        <f>IF(G175="","", (ROW()-1)-IFERROR(INDEX(Buildings!$G$2:$G$101, MATCH(ROW()-1-0.0001, Buildings!$G$2:$G$101, 1)), 0))</f>
        <v/>
      </c>
      <c r="K175" s="15">
        <f>IF(G175="","", CHOOSE(MIN(J175, 10), "First", "Second", "Third", "Fourth", "Fifth", "Sixth", "Seventh", "Eighth", "Ninth", "Tenth") &amp; " Floor")</f>
        <v/>
      </c>
      <c r="L175" s="13">
        <f>IF(G175="","",L174+IF(ISNUMBER(E175),E175,0))</f>
        <v/>
      </c>
    </row>
    <row r="176">
      <c r="A176" s="6">
        <f>IF(F176="","",IF(F176=F175,"",F176))</f>
        <v/>
      </c>
      <c r="B176" s="5">
        <f>IF(G176="","",IF(G176=G175,"",G176))</f>
        <v/>
      </c>
      <c r="C176" s="6">
        <f>IF(H176="","",IF(H176=H175,"",H176))</f>
        <v/>
      </c>
      <c r="D176" s="5">
        <f>IF(G176="","", I176 &amp; "-FL" &amp; TEXT(J176, "00"))</f>
        <v/>
      </c>
      <c r="E176" s="12" t="n"/>
      <c r="F176" s="15">
        <f>IF(ROW()-1&gt;SUM(Buildings!$D$2:$D$101), "", INDEX(Buildings!$F$2:$F$101, IFERROR(MATCH(ROW()-1-0.0001, Buildings!$G$2:$G$101, 1), 0)+1))</f>
        <v/>
      </c>
      <c r="G176" s="14">
        <f>IF(ROW()-1&gt;SUM(Buildings!$D$2:$D$101), "", INDEX(Buildings!$B$2:$B$101, IFERROR(MATCH(ROW()-1-0.0001, Buildings!$G$2:$G$101, 1), 0)+1))</f>
        <v/>
      </c>
      <c r="H176" s="15">
        <f>IF(ROW()-1&gt;SUM(Buildings!$D$2:$D$101), "", INDEX(Buildings!$C$2:$C$101, IFERROR(MATCH(ROW()-1-0.0001, Buildings!$G$2:$G$101, 1), 0)+1))</f>
        <v/>
      </c>
      <c r="I176" s="14">
        <f>IF(G176="","",VALUE(SUBSTITUTE(G176,"BLD","")))</f>
        <v/>
      </c>
      <c r="J176" s="14">
        <f>IF(G176="","", (ROW()-1)-IFERROR(INDEX(Buildings!$G$2:$G$101, MATCH(ROW()-1-0.0001, Buildings!$G$2:$G$101, 1)), 0))</f>
        <v/>
      </c>
      <c r="K176" s="15">
        <f>IF(G176="","", CHOOSE(MIN(J176, 10), "First", "Second", "Third", "Fourth", "Fifth", "Sixth", "Seventh", "Eighth", "Ninth", "Tenth") &amp; " Floor")</f>
        <v/>
      </c>
      <c r="L176" s="13">
        <f>IF(G176="","",L175+IF(ISNUMBER(E176),E176,0))</f>
        <v/>
      </c>
    </row>
    <row r="177">
      <c r="A177" s="6">
        <f>IF(F177="","",IF(F177=F176,"",F177))</f>
        <v/>
      </c>
      <c r="B177" s="5">
        <f>IF(G177="","",IF(G177=G176,"",G177))</f>
        <v/>
      </c>
      <c r="C177" s="6">
        <f>IF(H177="","",IF(H177=H176,"",H177))</f>
        <v/>
      </c>
      <c r="D177" s="5">
        <f>IF(G177="","", I177 &amp; "-FL" &amp; TEXT(J177, "00"))</f>
        <v/>
      </c>
      <c r="E177" s="12" t="n"/>
      <c r="F177" s="15">
        <f>IF(ROW()-1&gt;SUM(Buildings!$D$2:$D$101), "", INDEX(Buildings!$F$2:$F$101, IFERROR(MATCH(ROW()-1-0.0001, Buildings!$G$2:$G$101, 1), 0)+1))</f>
        <v/>
      </c>
      <c r="G177" s="14">
        <f>IF(ROW()-1&gt;SUM(Buildings!$D$2:$D$101), "", INDEX(Buildings!$B$2:$B$101, IFERROR(MATCH(ROW()-1-0.0001, Buildings!$G$2:$G$101, 1), 0)+1))</f>
        <v/>
      </c>
      <c r="H177" s="15">
        <f>IF(ROW()-1&gt;SUM(Buildings!$D$2:$D$101), "", INDEX(Buildings!$C$2:$C$101, IFERROR(MATCH(ROW()-1-0.0001, Buildings!$G$2:$G$101, 1), 0)+1))</f>
        <v/>
      </c>
      <c r="I177" s="14">
        <f>IF(G177="","",VALUE(SUBSTITUTE(G177,"BLD","")))</f>
        <v/>
      </c>
      <c r="J177" s="14">
        <f>IF(G177="","", (ROW()-1)-IFERROR(INDEX(Buildings!$G$2:$G$101, MATCH(ROW()-1-0.0001, Buildings!$G$2:$G$101, 1)), 0))</f>
        <v/>
      </c>
      <c r="K177" s="15">
        <f>IF(G177="","", CHOOSE(MIN(J177, 10), "First", "Second", "Third", "Fourth", "Fifth", "Sixth", "Seventh", "Eighth", "Ninth", "Tenth") &amp; " Floor")</f>
        <v/>
      </c>
      <c r="L177" s="13">
        <f>IF(G177="","",L176+IF(ISNUMBER(E177),E177,0))</f>
        <v/>
      </c>
    </row>
    <row r="178">
      <c r="A178" s="6">
        <f>IF(F178="","",IF(F178=F177,"",F178))</f>
        <v/>
      </c>
      <c r="B178" s="5">
        <f>IF(G178="","",IF(G178=G177,"",G178))</f>
        <v/>
      </c>
      <c r="C178" s="6">
        <f>IF(H178="","",IF(H178=H177,"",H178))</f>
        <v/>
      </c>
      <c r="D178" s="5">
        <f>IF(G178="","", I178 &amp; "-FL" &amp; TEXT(J178, "00"))</f>
        <v/>
      </c>
      <c r="E178" s="12" t="n"/>
      <c r="F178" s="15">
        <f>IF(ROW()-1&gt;SUM(Buildings!$D$2:$D$101), "", INDEX(Buildings!$F$2:$F$101, IFERROR(MATCH(ROW()-1-0.0001, Buildings!$G$2:$G$101, 1), 0)+1))</f>
        <v/>
      </c>
      <c r="G178" s="14">
        <f>IF(ROW()-1&gt;SUM(Buildings!$D$2:$D$101), "", INDEX(Buildings!$B$2:$B$101, IFERROR(MATCH(ROW()-1-0.0001, Buildings!$G$2:$G$101, 1), 0)+1))</f>
        <v/>
      </c>
      <c r="H178" s="15">
        <f>IF(ROW()-1&gt;SUM(Buildings!$D$2:$D$101), "", INDEX(Buildings!$C$2:$C$101, IFERROR(MATCH(ROW()-1-0.0001, Buildings!$G$2:$G$101, 1), 0)+1))</f>
        <v/>
      </c>
      <c r="I178" s="14">
        <f>IF(G178="","",VALUE(SUBSTITUTE(G178,"BLD","")))</f>
        <v/>
      </c>
      <c r="J178" s="14">
        <f>IF(G178="","", (ROW()-1)-IFERROR(INDEX(Buildings!$G$2:$G$101, MATCH(ROW()-1-0.0001, Buildings!$G$2:$G$101, 1)), 0))</f>
        <v/>
      </c>
      <c r="K178" s="15">
        <f>IF(G178="","", CHOOSE(MIN(J178, 10), "First", "Second", "Third", "Fourth", "Fifth", "Sixth", "Seventh", "Eighth", "Ninth", "Tenth") &amp; " Floor")</f>
        <v/>
      </c>
      <c r="L178" s="13">
        <f>IF(G178="","",L177+IF(ISNUMBER(E178),E178,0))</f>
        <v/>
      </c>
    </row>
    <row r="179">
      <c r="A179" s="6">
        <f>IF(F179="","",IF(F179=F178,"",F179))</f>
        <v/>
      </c>
      <c r="B179" s="5">
        <f>IF(G179="","",IF(G179=G178,"",G179))</f>
        <v/>
      </c>
      <c r="C179" s="6">
        <f>IF(H179="","",IF(H179=H178,"",H179))</f>
        <v/>
      </c>
      <c r="D179" s="5">
        <f>IF(G179="","", I179 &amp; "-FL" &amp; TEXT(J179, "00"))</f>
        <v/>
      </c>
      <c r="E179" s="12" t="n"/>
      <c r="F179" s="15">
        <f>IF(ROW()-1&gt;SUM(Buildings!$D$2:$D$101), "", INDEX(Buildings!$F$2:$F$101, IFERROR(MATCH(ROW()-1-0.0001, Buildings!$G$2:$G$101, 1), 0)+1))</f>
        <v/>
      </c>
      <c r="G179" s="14">
        <f>IF(ROW()-1&gt;SUM(Buildings!$D$2:$D$101), "", INDEX(Buildings!$B$2:$B$101, IFERROR(MATCH(ROW()-1-0.0001, Buildings!$G$2:$G$101, 1), 0)+1))</f>
        <v/>
      </c>
      <c r="H179" s="15">
        <f>IF(ROW()-1&gt;SUM(Buildings!$D$2:$D$101), "", INDEX(Buildings!$C$2:$C$101, IFERROR(MATCH(ROW()-1-0.0001, Buildings!$G$2:$G$101, 1), 0)+1))</f>
        <v/>
      </c>
      <c r="I179" s="14">
        <f>IF(G179="","",VALUE(SUBSTITUTE(G179,"BLD","")))</f>
        <v/>
      </c>
      <c r="J179" s="14">
        <f>IF(G179="","", (ROW()-1)-IFERROR(INDEX(Buildings!$G$2:$G$101, MATCH(ROW()-1-0.0001, Buildings!$G$2:$G$101, 1)), 0))</f>
        <v/>
      </c>
      <c r="K179" s="15">
        <f>IF(G179="","", CHOOSE(MIN(J179, 10), "First", "Second", "Third", "Fourth", "Fifth", "Sixth", "Seventh", "Eighth", "Ninth", "Tenth") &amp; " Floor")</f>
        <v/>
      </c>
      <c r="L179" s="13">
        <f>IF(G179="","",L178+IF(ISNUMBER(E179),E179,0))</f>
        <v/>
      </c>
    </row>
    <row r="180">
      <c r="A180" s="6">
        <f>IF(F180="","",IF(F180=F179,"",F180))</f>
        <v/>
      </c>
      <c r="B180" s="5">
        <f>IF(G180="","",IF(G180=G179,"",G180))</f>
        <v/>
      </c>
      <c r="C180" s="6">
        <f>IF(H180="","",IF(H180=H179,"",H180))</f>
        <v/>
      </c>
      <c r="D180" s="5">
        <f>IF(G180="","", I180 &amp; "-FL" &amp; TEXT(J180, "00"))</f>
        <v/>
      </c>
      <c r="E180" s="12" t="n"/>
      <c r="F180" s="15">
        <f>IF(ROW()-1&gt;SUM(Buildings!$D$2:$D$101), "", INDEX(Buildings!$F$2:$F$101, IFERROR(MATCH(ROW()-1-0.0001, Buildings!$G$2:$G$101, 1), 0)+1))</f>
        <v/>
      </c>
      <c r="G180" s="14">
        <f>IF(ROW()-1&gt;SUM(Buildings!$D$2:$D$101), "", INDEX(Buildings!$B$2:$B$101, IFERROR(MATCH(ROW()-1-0.0001, Buildings!$G$2:$G$101, 1), 0)+1))</f>
        <v/>
      </c>
      <c r="H180" s="15">
        <f>IF(ROW()-1&gt;SUM(Buildings!$D$2:$D$101), "", INDEX(Buildings!$C$2:$C$101, IFERROR(MATCH(ROW()-1-0.0001, Buildings!$G$2:$G$101, 1), 0)+1))</f>
        <v/>
      </c>
      <c r="I180" s="14">
        <f>IF(G180="","",VALUE(SUBSTITUTE(G180,"BLD","")))</f>
        <v/>
      </c>
      <c r="J180" s="14">
        <f>IF(G180="","", (ROW()-1)-IFERROR(INDEX(Buildings!$G$2:$G$101, MATCH(ROW()-1-0.0001, Buildings!$G$2:$G$101, 1)), 0))</f>
        <v/>
      </c>
      <c r="K180" s="15">
        <f>IF(G180="","", CHOOSE(MIN(J180, 10), "First", "Second", "Third", "Fourth", "Fifth", "Sixth", "Seventh", "Eighth", "Ninth", "Tenth") &amp; " Floor")</f>
        <v/>
      </c>
      <c r="L180" s="13">
        <f>IF(G180="","",L179+IF(ISNUMBER(E180),E180,0))</f>
        <v/>
      </c>
    </row>
    <row r="181">
      <c r="A181" s="6">
        <f>IF(F181="","",IF(F181=F180,"",F181))</f>
        <v/>
      </c>
      <c r="B181" s="5">
        <f>IF(G181="","",IF(G181=G180,"",G181))</f>
        <v/>
      </c>
      <c r="C181" s="6">
        <f>IF(H181="","",IF(H181=H180,"",H181))</f>
        <v/>
      </c>
      <c r="D181" s="5">
        <f>IF(G181="","", I181 &amp; "-FL" &amp; TEXT(J181, "00"))</f>
        <v/>
      </c>
      <c r="E181" s="12" t="n"/>
      <c r="F181" s="15">
        <f>IF(ROW()-1&gt;SUM(Buildings!$D$2:$D$101), "", INDEX(Buildings!$F$2:$F$101, IFERROR(MATCH(ROW()-1-0.0001, Buildings!$G$2:$G$101, 1), 0)+1))</f>
        <v/>
      </c>
      <c r="G181" s="14">
        <f>IF(ROW()-1&gt;SUM(Buildings!$D$2:$D$101), "", INDEX(Buildings!$B$2:$B$101, IFERROR(MATCH(ROW()-1-0.0001, Buildings!$G$2:$G$101, 1), 0)+1))</f>
        <v/>
      </c>
      <c r="H181" s="15">
        <f>IF(ROW()-1&gt;SUM(Buildings!$D$2:$D$101), "", INDEX(Buildings!$C$2:$C$101, IFERROR(MATCH(ROW()-1-0.0001, Buildings!$G$2:$G$101, 1), 0)+1))</f>
        <v/>
      </c>
      <c r="I181" s="14">
        <f>IF(G181="","",VALUE(SUBSTITUTE(G181,"BLD","")))</f>
        <v/>
      </c>
      <c r="J181" s="14">
        <f>IF(G181="","", (ROW()-1)-IFERROR(INDEX(Buildings!$G$2:$G$101, MATCH(ROW()-1-0.0001, Buildings!$G$2:$G$101, 1)), 0))</f>
        <v/>
      </c>
      <c r="K181" s="15">
        <f>IF(G181="","", CHOOSE(MIN(J181, 10), "First", "Second", "Third", "Fourth", "Fifth", "Sixth", "Seventh", "Eighth", "Ninth", "Tenth") &amp; " Floor")</f>
        <v/>
      </c>
      <c r="L181" s="13">
        <f>IF(G181="","",L180+IF(ISNUMBER(E181),E181,0))</f>
        <v/>
      </c>
    </row>
    <row r="182">
      <c r="A182" s="6">
        <f>IF(F182="","",IF(F182=F181,"",F182))</f>
        <v/>
      </c>
      <c r="B182" s="5">
        <f>IF(G182="","",IF(G182=G181,"",G182))</f>
        <v/>
      </c>
      <c r="C182" s="6">
        <f>IF(H182="","",IF(H182=H181,"",H182))</f>
        <v/>
      </c>
      <c r="D182" s="5">
        <f>IF(G182="","", I182 &amp; "-FL" &amp; TEXT(J182, "00"))</f>
        <v/>
      </c>
      <c r="E182" s="12" t="n"/>
      <c r="F182" s="15">
        <f>IF(ROW()-1&gt;SUM(Buildings!$D$2:$D$101), "", INDEX(Buildings!$F$2:$F$101, IFERROR(MATCH(ROW()-1-0.0001, Buildings!$G$2:$G$101, 1), 0)+1))</f>
        <v/>
      </c>
      <c r="G182" s="14">
        <f>IF(ROW()-1&gt;SUM(Buildings!$D$2:$D$101), "", INDEX(Buildings!$B$2:$B$101, IFERROR(MATCH(ROW()-1-0.0001, Buildings!$G$2:$G$101, 1), 0)+1))</f>
        <v/>
      </c>
      <c r="H182" s="15">
        <f>IF(ROW()-1&gt;SUM(Buildings!$D$2:$D$101), "", INDEX(Buildings!$C$2:$C$101, IFERROR(MATCH(ROW()-1-0.0001, Buildings!$G$2:$G$101, 1), 0)+1))</f>
        <v/>
      </c>
      <c r="I182" s="14">
        <f>IF(G182="","",VALUE(SUBSTITUTE(G182,"BLD","")))</f>
        <v/>
      </c>
      <c r="J182" s="14">
        <f>IF(G182="","", (ROW()-1)-IFERROR(INDEX(Buildings!$G$2:$G$101, MATCH(ROW()-1-0.0001, Buildings!$G$2:$G$101, 1)), 0))</f>
        <v/>
      </c>
      <c r="K182" s="15">
        <f>IF(G182="","", CHOOSE(MIN(J182, 10), "First", "Second", "Third", "Fourth", "Fifth", "Sixth", "Seventh", "Eighth", "Ninth", "Tenth") &amp; " Floor")</f>
        <v/>
      </c>
      <c r="L182" s="13">
        <f>IF(G182="","",L181+IF(ISNUMBER(E182),E182,0))</f>
        <v/>
      </c>
    </row>
    <row r="183">
      <c r="A183" s="6">
        <f>IF(F183="","",IF(F183=F182,"",F183))</f>
        <v/>
      </c>
      <c r="B183" s="5">
        <f>IF(G183="","",IF(G183=G182,"",G183))</f>
        <v/>
      </c>
      <c r="C183" s="6">
        <f>IF(H183="","",IF(H183=H182,"",H183))</f>
        <v/>
      </c>
      <c r="D183" s="5">
        <f>IF(G183="","", I183 &amp; "-FL" &amp; TEXT(J183, "00"))</f>
        <v/>
      </c>
      <c r="E183" s="12" t="n"/>
      <c r="F183" s="15">
        <f>IF(ROW()-1&gt;SUM(Buildings!$D$2:$D$101), "", INDEX(Buildings!$F$2:$F$101, IFERROR(MATCH(ROW()-1-0.0001, Buildings!$G$2:$G$101, 1), 0)+1))</f>
        <v/>
      </c>
      <c r="G183" s="14">
        <f>IF(ROW()-1&gt;SUM(Buildings!$D$2:$D$101), "", INDEX(Buildings!$B$2:$B$101, IFERROR(MATCH(ROW()-1-0.0001, Buildings!$G$2:$G$101, 1), 0)+1))</f>
        <v/>
      </c>
      <c r="H183" s="15">
        <f>IF(ROW()-1&gt;SUM(Buildings!$D$2:$D$101), "", INDEX(Buildings!$C$2:$C$101, IFERROR(MATCH(ROW()-1-0.0001, Buildings!$G$2:$G$101, 1), 0)+1))</f>
        <v/>
      </c>
      <c r="I183" s="14">
        <f>IF(G183="","",VALUE(SUBSTITUTE(G183,"BLD","")))</f>
        <v/>
      </c>
      <c r="J183" s="14">
        <f>IF(G183="","", (ROW()-1)-IFERROR(INDEX(Buildings!$G$2:$G$101, MATCH(ROW()-1-0.0001, Buildings!$G$2:$G$101, 1)), 0))</f>
        <v/>
      </c>
      <c r="K183" s="15">
        <f>IF(G183="","", CHOOSE(MIN(J183, 10), "First", "Second", "Third", "Fourth", "Fifth", "Sixth", "Seventh", "Eighth", "Ninth", "Tenth") &amp; " Floor")</f>
        <v/>
      </c>
      <c r="L183" s="13">
        <f>IF(G183="","",L182+IF(ISNUMBER(E183),E183,0))</f>
        <v/>
      </c>
    </row>
    <row r="184">
      <c r="A184" s="6">
        <f>IF(F184="","",IF(F184=F183,"",F184))</f>
        <v/>
      </c>
      <c r="B184" s="5">
        <f>IF(G184="","",IF(G184=G183,"",G184))</f>
        <v/>
      </c>
      <c r="C184" s="6">
        <f>IF(H184="","",IF(H184=H183,"",H184))</f>
        <v/>
      </c>
      <c r="D184" s="5">
        <f>IF(G184="","", I184 &amp; "-FL" &amp; TEXT(J184, "00"))</f>
        <v/>
      </c>
      <c r="E184" s="12" t="n"/>
      <c r="F184" s="15">
        <f>IF(ROW()-1&gt;SUM(Buildings!$D$2:$D$101), "", INDEX(Buildings!$F$2:$F$101, IFERROR(MATCH(ROW()-1-0.0001, Buildings!$G$2:$G$101, 1), 0)+1))</f>
        <v/>
      </c>
      <c r="G184" s="14">
        <f>IF(ROW()-1&gt;SUM(Buildings!$D$2:$D$101), "", INDEX(Buildings!$B$2:$B$101, IFERROR(MATCH(ROW()-1-0.0001, Buildings!$G$2:$G$101, 1), 0)+1))</f>
        <v/>
      </c>
      <c r="H184" s="15">
        <f>IF(ROW()-1&gt;SUM(Buildings!$D$2:$D$101), "", INDEX(Buildings!$C$2:$C$101, IFERROR(MATCH(ROW()-1-0.0001, Buildings!$G$2:$G$101, 1), 0)+1))</f>
        <v/>
      </c>
      <c r="I184" s="14">
        <f>IF(G184="","",VALUE(SUBSTITUTE(G184,"BLD","")))</f>
        <v/>
      </c>
      <c r="J184" s="14">
        <f>IF(G184="","", (ROW()-1)-IFERROR(INDEX(Buildings!$G$2:$G$101, MATCH(ROW()-1-0.0001, Buildings!$G$2:$G$101, 1)), 0))</f>
        <v/>
      </c>
      <c r="K184" s="15">
        <f>IF(G184="","", CHOOSE(MIN(J184, 10), "First", "Second", "Third", "Fourth", "Fifth", "Sixth", "Seventh", "Eighth", "Ninth", "Tenth") &amp; " Floor")</f>
        <v/>
      </c>
      <c r="L184" s="13">
        <f>IF(G184="","",L183+IF(ISNUMBER(E184),E184,0))</f>
        <v/>
      </c>
    </row>
    <row r="185">
      <c r="A185" s="6">
        <f>IF(F185="","",IF(F185=F184,"",F185))</f>
        <v/>
      </c>
      <c r="B185" s="5">
        <f>IF(G185="","",IF(G185=G184,"",G185))</f>
        <v/>
      </c>
      <c r="C185" s="6">
        <f>IF(H185="","",IF(H185=H184,"",H185))</f>
        <v/>
      </c>
      <c r="D185" s="5">
        <f>IF(G185="","", I185 &amp; "-FL" &amp; TEXT(J185, "00"))</f>
        <v/>
      </c>
      <c r="E185" s="12" t="n"/>
      <c r="F185" s="15">
        <f>IF(ROW()-1&gt;SUM(Buildings!$D$2:$D$101), "", INDEX(Buildings!$F$2:$F$101, IFERROR(MATCH(ROW()-1-0.0001, Buildings!$G$2:$G$101, 1), 0)+1))</f>
        <v/>
      </c>
      <c r="G185" s="14">
        <f>IF(ROW()-1&gt;SUM(Buildings!$D$2:$D$101), "", INDEX(Buildings!$B$2:$B$101, IFERROR(MATCH(ROW()-1-0.0001, Buildings!$G$2:$G$101, 1), 0)+1))</f>
        <v/>
      </c>
      <c r="H185" s="15">
        <f>IF(ROW()-1&gt;SUM(Buildings!$D$2:$D$101), "", INDEX(Buildings!$C$2:$C$101, IFERROR(MATCH(ROW()-1-0.0001, Buildings!$G$2:$G$101, 1), 0)+1))</f>
        <v/>
      </c>
      <c r="I185" s="14">
        <f>IF(G185="","",VALUE(SUBSTITUTE(G185,"BLD","")))</f>
        <v/>
      </c>
      <c r="J185" s="14">
        <f>IF(G185="","", (ROW()-1)-IFERROR(INDEX(Buildings!$G$2:$G$101, MATCH(ROW()-1-0.0001, Buildings!$G$2:$G$101, 1)), 0))</f>
        <v/>
      </c>
      <c r="K185" s="15">
        <f>IF(G185="","", CHOOSE(MIN(J185, 10), "First", "Second", "Third", "Fourth", "Fifth", "Sixth", "Seventh", "Eighth", "Ninth", "Tenth") &amp; " Floor")</f>
        <v/>
      </c>
      <c r="L185" s="13">
        <f>IF(G185="","",L184+IF(ISNUMBER(E185),E185,0))</f>
        <v/>
      </c>
    </row>
    <row r="186">
      <c r="A186" s="6">
        <f>IF(F186="","",IF(F186=F185,"",F186))</f>
        <v/>
      </c>
      <c r="B186" s="5">
        <f>IF(G186="","",IF(G186=G185,"",G186))</f>
        <v/>
      </c>
      <c r="C186" s="6">
        <f>IF(H186="","",IF(H186=H185,"",H186))</f>
        <v/>
      </c>
      <c r="D186" s="5">
        <f>IF(G186="","", I186 &amp; "-FL" &amp; TEXT(J186, "00"))</f>
        <v/>
      </c>
      <c r="E186" s="12" t="n"/>
      <c r="F186" s="15">
        <f>IF(ROW()-1&gt;SUM(Buildings!$D$2:$D$101), "", INDEX(Buildings!$F$2:$F$101, IFERROR(MATCH(ROW()-1-0.0001, Buildings!$G$2:$G$101, 1), 0)+1))</f>
        <v/>
      </c>
      <c r="G186" s="14">
        <f>IF(ROW()-1&gt;SUM(Buildings!$D$2:$D$101), "", INDEX(Buildings!$B$2:$B$101, IFERROR(MATCH(ROW()-1-0.0001, Buildings!$G$2:$G$101, 1), 0)+1))</f>
        <v/>
      </c>
      <c r="H186" s="15">
        <f>IF(ROW()-1&gt;SUM(Buildings!$D$2:$D$101), "", INDEX(Buildings!$C$2:$C$101, IFERROR(MATCH(ROW()-1-0.0001, Buildings!$G$2:$G$101, 1), 0)+1))</f>
        <v/>
      </c>
      <c r="I186" s="14">
        <f>IF(G186="","",VALUE(SUBSTITUTE(G186,"BLD","")))</f>
        <v/>
      </c>
      <c r="J186" s="14">
        <f>IF(G186="","", (ROW()-1)-IFERROR(INDEX(Buildings!$G$2:$G$101, MATCH(ROW()-1-0.0001, Buildings!$G$2:$G$101, 1)), 0))</f>
        <v/>
      </c>
      <c r="K186" s="15">
        <f>IF(G186="","", CHOOSE(MIN(J186, 10), "First", "Second", "Third", "Fourth", "Fifth", "Sixth", "Seventh", "Eighth", "Ninth", "Tenth") &amp; " Floor")</f>
        <v/>
      </c>
      <c r="L186" s="13">
        <f>IF(G186="","",L185+IF(ISNUMBER(E186),E186,0))</f>
        <v/>
      </c>
    </row>
    <row r="187">
      <c r="A187" s="6">
        <f>IF(F187="","",IF(F187=F186,"",F187))</f>
        <v/>
      </c>
      <c r="B187" s="5">
        <f>IF(G187="","",IF(G187=G186,"",G187))</f>
        <v/>
      </c>
      <c r="C187" s="6">
        <f>IF(H187="","",IF(H187=H186,"",H187))</f>
        <v/>
      </c>
      <c r="D187" s="5">
        <f>IF(G187="","", I187 &amp; "-FL" &amp; TEXT(J187, "00"))</f>
        <v/>
      </c>
      <c r="E187" s="12" t="n"/>
      <c r="F187" s="15">
        <f>IF(ROW()-1&gt;SUM(Buildings!$D$2:$D$101), "", INDEX(Buildings!$F$2:$F$101, IFERROR(MATCH(ROW()-1-0.0001, Buildings!$G$2:$G$101, 1), 0)+1))</f>
        <v/>
      </c>
      <c r="G187" s="14">
        <f>IF(ROW()-1&gt;SUM(Buildings!$D$2:$D$101), "", INDEX(Buildings!$B$2:$B$101, IFERROR(MATCH(ROW()-1-0.0001, Buildings!$G$2:$G$101, 1), 0)+1))</f>
        <v/>
      </c>
      <c r="H187" s="15">
        <f>IF(ROW()-1&gt;SUM(Buildings!$D$2:$D$101), "", INDEX(Buildings!$C$2:$C$101, IFERROR(MATCH(ROW()-1-0.0001, Buildings!$G$2:$G$101, 1), 0)+1))</f>
        <v/>
      </c>
      <c r="I187" s="14">
        <f>IF(G187="","",VALUE(SUBSTITUTE(G187,"BLD","")))</f>
        <v/>
      </c>
      <c r="J187" s="14">
        <f>IF(G187="","", (ROW()-1)-IFERROR(INDEX(Buildings!$G$2:$G$101, MATCH(ROW()-1-0.0001, Buildings!$G$2:$G$101, 1)), 0))</f>
        <v/>
      </c>
      <c r="K187" s="15">
        <f>IF(G187="","", CHOOSE(MIN(J187, 10), "First", "Second", "Third", "Fourth", "Fifth", "Sixth", "Seventh", "Eighth", "Ninth", "Tenth") &amp; " Floor")</f>
        <v/>
      </c>
      <c r="L187" s="13">
        <f>IF(G187="","",L186+IF(ISNUMBER(E187),E187,0))</f>
        <v/>
      </c>
    </row>
    <row r="188">
      <c r="A188" s="6">
        <f>IF(F188="","",IF(F188=F187,"",F188))</f>
        <v/>
      </c>
      <c r="B188" s="5">
        <f>IF(G188="","",IF(G188=G187,"",G188))</f>
        <v/>
      </c>
      <c r="C188" s="6">
        <f>IF(H188="","",IF(H188=H187,"",H188))</f>
        <v/>
      </c>
      <c r="D188" s="5">
        <f>IF(G188="","", I188 &amp; "-FL" &amp; TEXT(J188, "00"))</f>
        <v/>
      </c>
      <c r="E188" s="12" t="n"/>
      <c r="F188" s="15">
        <f>IF(ROW()-1&gt;SUM(Buildings!$D$2:$D$101), "", INDEX(Buildings!$F$2:$F$101, IFERROR(MATCH(ROW()-1-0.0001, Buildings!$G$2:$G$101, 1), 0)+1))</f>
        <v/>
      </c>
      <c r="G188" s="14">
        <f>IF(ROW()-1&gt;SUM(Buildings!$D$2:$D$101), "", INDEX(Buildings!$B$2:$B$101, IFERROR(MATCH(ROW()-1-0.0001, Buildings!$G$2:$G$101, 1), 0)+1))</f>
        <v/>
      </c>
      <c r="H188" s="15">
        <f>IF(ROW()-1&gt;SUM(Buildings!$D$2:$D$101), "", INDEX(Buildings!$C$2:$C$101, IFERROR(MATCH(ROW()-1-0.0001, Buildings!$G$2:$G$101, 1), 0)+1))</f>
        <v/>
      </c>
      <c r="I188" s="14">
        <f>IF(G188="","",VALUE(SUBSTITUTE(G188,"BLD","")))</f>
        <v/>
      </c>
      <c r="J188" s="14">
        <f>IF(G188="","", (ROW()-1)-IFERROR(INDEX(Buildings!$G$2:$G$101, MATCH(ROW()-1-0.0001, Buildings!$G$2:$G$101, 1)), 0))</f>
        <v/>
      </c>
      <c r="K188" s="15">
        <f>IF(G188="","", CHOOSE(MIN(J188, 10), "First", "Second", "Third", "Fourth", "Fifth", "Sixth", "Seventh", "Eighth", "Ninth", "Tenth") &amp; " Floor")</f>
        <v/>
      </c>
      <c r="L188" s="13">
        <f>IF(G188="","",L187+IF(ISNUMBER(E188),E188,0))</f>
        <v/>
      </c>
    </row>
    <row r="189">
      <c r="A189" s="6">
        <f>IF(F189="","",IF(F189=F188,"",F189))</f>
        <v/>
      </c>
      <c r="B189" s="5">
        <f>IF(G189="","",IF(G189=G188,"",G189))</f>
        <v/>
      </c>
      <c r="C189" s="6">
        <f>IF(H189="","",IF(H189=H188,"",H189))</f>
        <v/>
      </c>
      <c r="D189" s="5">
        <f>IF(G189="","", I189 &amp; "-FL" &amp; TEXT(J189, "00"))</f>
        <v/>
      </c>
      <c r="E189" s="12" t="n"/>
      <c r="F189" s="15">
        <f>IF(ROW()-1&gt;SUM(Buildings!$D$2:$D$101), "", INDEX(Buildings!$F$2:$F$101, IFERROR(MATCH(ROW()-1-0.0001, Buildings!$G$2:$G$101, 1), 0)+1))</f>
        <v/>
      </c>
      <c r="G189" s="14">
        <f>IF(ROW()-1&gt;SUM(Buildings!$D$2:$D$101), "", INDEX(Buildings!$B$2:$B$101, IFERROR(MATCH(ROW()-1-0.0001, Buildings!$G$2:$G$101, 1), 0)+1))</f>
        <v/>
      </c>
      <c r="H189" s="15">
        <f>IF(ROW()-1&gt;SUM(Buildings!$D$2:$D$101), "", INDEX(Buildings!$C$2:$C$101, IFERROR(MATCH(ROW()-1-0.0001, Buildings!$G$2:$G$101, 1), 0)+1))</f>
        <v/>
      </c>
      <c r="I189" s="14">
        <f>IF(G189="","",VALUE(SUBSTITUTE(G189,"BLD","")))</f>
        <v/>
      </c>
      <c r="J189" s="14">
        <f>IF(G189="","", (ROW()-1)-IFERROR(INDEX(Buildings!$G$2:$G$101, MATCH(ROW()-1-0.0001, Buildings!$G$2:$G$101, 1)), 0))</f>
        <v/>
      </c>
      <c r="K189" s="15">
        <f>IF(G189="","", CHOOSE(MIN(J189, 10), "First", "Second", "Third", "Fourth", "Fifth", "Sixth", "Seventh", "Eighth", "Ninth", "Tenth") &amp; " Floor")</f>
        <v/>
      </c>
      <c r="L189" s="13">
        <f>IF(G189="","",L188+IF(ISNUMBER(E189),E189,0))</f>
        <v/>
      </c>
    </row>
    <row r="190">
      <c r="A190" s="6">
        <f>IF(F190="","",IF(F190=F189,"",F190))</f>
        <v/>
      </c>
      <c r="B190" s="5">
        <f>IF(G190="","",IF(G190=G189,"",G190))</f>
        <v/>
      </c>
      <c r="C190" s="6">
        <f>IF(H190="","",IF(H190=H189,"",H190))</f>
        <v/>
      </c>
      <c r="D190" s="5">
        <f>IF(G190="","", I190 &amp; "-FL" &amp; TEXT(J190, "00"))</f>
        <v/>
      </c>
      <c r="E190" s="12" t="n"/>
      <c r="F190" s="15">
        <f>IF(ROW()-1&gt;SUM(Buildings!$D$2:$D$101), "", INDEX(Buildings!$F$2:$F$101, IFERROR(MATCH(ROW()-1-0.0001, Buildings!$G$2:$G$101, 1), 0)+1))</f>
        <v/>
      </c>
      <c r="G190" s="14">
        <f>IF(ROW()-1&gt;SUM(Buildings!$D$2:$D$101), "", INDEX(Buildings!$B$2:$B$101, IFERROR(MATCH(ROW()-1-0.0001, Buildings!$G$2:$G$101, 1), 0)+1))</f>
        <v/>
      </c>
      <c r="H190" s="15">
        <f>IF(ROW()-1&gt;SUM(Buildings!$D$2:$D$101), "", INDEX(Buildings!$C$2:$C$101, IFERROR(MATCH(ROW()-1-0.0001, Buildings!$G$2:$G$101, 1), 0)+1))</f>
        <v/>
      </c>
      <c r="I190" s="14">
        <f>IF(G190="","",VALUE(SUBSTITUTE(G190,"BLD","")))</f>
        <v/>
      </c>
      <c r="J190" s="14">
        <f>IF(G190="","", (ROW()-1)-IFERROR(INDEX(Buildings!$G$2:$G$101, MATCH(ROW()-1-0.0001, Buildings!$G$2:$G$101, 1)), 0))</f>
        <v/>
      </c>
      <c r="K190" s="15">
        <f>IF(G190="","", CHOOSE(MIN(J190, 10), "First", "Second", "Third", "Fourth", "Fifth", "Sixth", "Seventh", "Eighth", "Ninth", "Tenth") &amp; " Floor")</f>
        <v/>
      </c>
      <c r="L190" s="13">
        <f>IF(G190="","",L189+IF(ISNUMBER(E190),E190,0))</f>
        <v/>
      </c>
    </row>
    <row r="191">
      <c r="A191" s="6">
        <f>IF(F191="","",IF(F191=F190,"",F191))</f>
        <v/>
      </c>
      <c r="B191" s="5">
        <f>IF(G191="","",IF(G191=G190,"",G191))</f>
        <v/>
      </c>
      <c r="C191" s="6">
        <f>IF(H191="","",IF(H191=H190,"",H191))</f>
        <v/>
      </c>
      <c r="D191" s="5">
        <f>IF(G191="","", I191 &amp; "-FL" &amp; TEXT(J191, "00"))</f>
        <v/>
      </c>
      <c r="E191" s="12" t="n"/>
      <c r="F191" s="15">
        <f>IF(ROW()-1&gt;SUM(Buildings!$D$2:$D$101), "", INDEX(Buildings!$F$2:$F$101, IFERROR(MATCH(ROW()-1-0.0001, Buildings!$G$2:$G$101, 1), 0)+1))</f>
        <v/>
      </c>
      <c r="G191" s="14">
        <f>IF(ROW()-1&gt;SUM(Buildings!$D$2:$D$101), "", INDEX(Buildings!$B$2:$B$101, IFERROR(MATCH(ROW()-1-0.0001, Buildings!$G$2:$G$101, 1), 0)+1))</f>
        <v/>
      </c>
      <c r="H191" s="15">
        <f>IF(ROW()-1&gt;SUM(Buildings!$D$2:$D$101), "", INDEX(Buildings!$C$2:$C$101, IFERROR(MATCH(ROW()-1-0.0001, Buildings!$G$2:$G$101, 1), 0)+1))</f>
        <v/>
      </c>
      <c r="I191" s="14">
        <f>IF(G191="","",VALUE(SUBSTITUTE(G191,"BLD","")))</f>
        <v/>
      </c>
      <c r="J191" s="14">
        <f>IF(G191="","", (ROW()-1)-IFERROR(INDEX(Buildings!$G$2:$G$101, MATCH(ROW()-1-0.0001, Buildings!$G$2:$G$101, 1)), 0))</f>
        <v/>
      </c>
      <c r="K191" s="15">
        <f>IF(G191="","", CHOOSE(MIN(J191, 10), "First", "Second", "Third", "Fourth", "Fifth", "Sixth", "Seventh", "Eighth", "Ninth", "Tenth") &amp; " Floor")</f>
        <v/>
      </c>
      <c r="L191" s="13">
        <f>IF(G191="","",L190+IF(ISNUMBER(E191),E191,0))</f>
        <v/>
      </c>
    </row>
    <row r="192">
      <c r="A192" s="6">
        <f>IF(F192="","",IF(F192=F191,"",F192))</f>
        <v/>
      </c>
      <c r="B192" s="5">
        <f>IF(G192="","",IF(G192=G191,"",G192))</f>
        <v/>
      </c>
      <c r="C192" s="6">
        <f>IF(H192="","",IF(H192=H191,"",H192))</f>
        <v/>
      </c>
      <c r="D192" s="5">
        <f>IF(G192="","", I192 &amp; "-FL" &amp; TEXT(J192, "00"))</f>
        <v/>
      </c>
      <c r="E192" s="12" t="n"/>
      <c r="F192" s="15">
        <f>IF(ROW()-1&gt;SUM(Buildings!$D$2:$D$101), "", INDEX(Buildings!$F$2:$F$101, IFERROR(MATCH(ROW()-1-0.0001, Buildings!$G$2:$G$101, 1), 0)+1))</f>
        <v/>
      </c>
      <c r="G192" s="14">
        <f>IF(ROW()-1&gt;SUM(Buildings!$D$2:$D$101), "", INDEX(Buildings!$B$2:$B$101, IFERROR(MATCH(ROW()-1-0.0001, Buildings!$G$2:$G$101, 1), 0)+1))</f>
        <v/>
      </c>
      <c r="H192" s="15">
        <f>IF(ROW()-1&gt;SUM(Buildings!$D$2:$D$101), "", INDEX(Buildings!$C$2:$C$101, IFERROR(MATCH(ROW()-1-0.0001, Buildings!$G$2:$G$101, 1), 0)+1))</f>
        <v/>
      </c>
      <c r="I192" s="14">
        <f>IF(G192="","",VALUE(SUBSTITUTE(G192,"BLD","")))</f>
        <v/>
      </c>
      <c r="J192" s="14">
        <f>IF(G192="","", (ROW()-1)-IFERROR(INDEX(Buildings!$G$2:$G$101, MATCH(ROW()-1-0.0001, Buildings!$G$2:$G$101, 1)), 0))</f>
        <v/>
      </c>
      <c r="K192" s="15">
        <f>IF(G192="","", CHOOSE(MIN(J192, 10), "First", "Second", "Third", "Fourth", "Fifth", "Sixth", "Seventh", "Eighth", "Ninth", "Tenth") &amp; " Floor")</f>
        <v/>
      </c>
      <c r="L192" s="13">
        <f>IF(G192="","",L191+IF(ISNUMBER(E192),E192,0))</f>
        <v/>
      </c>
    </row>
    <row r="193">
      <c r="A193" s="6">
        <f>IF(F193="","",IF(F193=F192,"",F193))</f>
        <v/>
      </c>
      <c r="B193" s="5">
        <f>IF(G193="","",IF(G193=G192,"",G193))</f>
        <v/>
      </c>
      <c r="C193" s="6">
        <f>IF(H193="","",IF(H193=H192,"",H193))</f>
        <v/>
      </c>
      <c r="D193" s="5">
        <f>IF(G193="","", I193 &amp; "-FL" &amp; TEXT(J193, "00"))</f>
        <v/>
      </c>
      <c r="E193" s="12" t="n"/>
      <c r="F193" s="15">
        <f>IF(ROW()-1&gt;SUM(Buildings!$D$2:$D$101), "", INDEX(Buildings!$F$2:$F$101, IFERROR(MATCH(ROW()-1-0.0001, Buildings!$G$2:$G$101, 1), 0)+1))</f>
        <v/>
      </c>
      <c r="G193" s="14">
        <f>IF(ROW()-1&gt;SUM(Buildings!$D$2:$D$101), "", INDEX(Buildings!$B$2:$B$101, IFERROR(MATCH(ROW()-1-0.0001, Buildings!$G$2:$G$101, 1), 0)+1))</f>
        <v/>
      </c>
      <c r="H193" s="15">
        <f>IF(ROW()-1&gt;SUM(Buildings!$D$2:$D$101), "", INDEX(Buildings!$C$2:$C$101, IFERROR(MATCH(ROW()-1-0.0001, Buildings!$G$2:$G$101, 1), 0)+1))</f>
        <v/>
      </c>
      <c r="I193" s="14">
        <f>IF(G193="","",VALUE(SUBSTITUTE(G193,"BLD","")))</f>
        <v/>
      </c>
      <c r="J193" s="14">
        <f>IF(G193="","", (ROW()-1)-IFERROR(INDEX(Buildings!$G$2:$G$101, MATCH(ROW()-1-0.0001, Buildings!$G$2:$G$101, 1)), 0))</f>
        <v/>
      </c>
      <c r="K193" s="15">
        <f>IF(G193="","", CHOOSE(MIN(J193, 10), "First", "Second", "Third", "Fourth", "Fifth", "Sixth", "Seventh", "Eighth", "Ninth", "Tenth") &amp; " Floor")</f>
        <v/>
      </c>
      <c r="L193" s="13">
        <f>IF(G193="","",L192+IF(ISNUMBER(E193),E193,0))</f>
        <v/>
      </c>
    </row>
    <row r="194">
      <c r="A194" s="6">
        <f>IF(F194="","",IF(F194=F193,"",F194))</f>
        <v/>
      </c>
      <c r="B194" s="5">
        <f>IF(G194="","",IF(G194=G193,"",G194))</f>
        <v/>
      </c>
      <c r="C194" s="6">
        <f>IF(H194="","",IF(H194=H193,"",H194))</f>
        <v/>
      </c>
      <c r="D194" s="5">
        <f>IF(G194="","", I194 &amp; "-FL" &amp; TEXT(J194, "00"))</f>
        <v/>
      </c>
      <c r="E194" s="12" t="n"/>
      <c r="F194" s="15">
        <f>IF(ROW()-1&gt;SUM(Buildings!$D$2:$D$101), "", INDEX(Buildings!$F$2:$F$101, IFERROR(MATCH(ROW()-1-0.0001, Buildings!$G$2:$G$101, 1), 0)+1))</f>
        <v/>
      </c>
      <c r="G194" s="14">
        <f>IF(ROW()-1&gt;SUM(Buildings!$D$2:$D$101), "", INDEX(Buildings!$B$2:$B$101, IFERROR(MATCH(ROW()-1-0.0001, Buildings!$G$2:$G$101, 1), 0)+1))</f>
        <v/>
      </c>
      <c r="H194" s="15">
        <f>IF(ROW()-1&gt;SUM(Buildings!$D$2:$D$101), "", INDEX(Buildings!$C$2:$C$101, IFERROR(MATCH(ROW()-1-0.0001, Buildings!$G$2:$G$101, 1), 0)+1))</f>
        <v/>
      </c>
      <c r="I194" s="14">
        <f>IF(G194="","",VALUE(SUBSTITUTE(G194,"BLD","")))</f>
        <v/>
      </c>
      <c r="J194" s="14">
        <f>IF(G194="","", (ROW()-1)-IFERROR(INDEX(Buildings!$G$2:$G$101, MATCH(ROW()-1-0.0001, Buildings!$G$2:$G$101, 1)), 0))</f>
        <v/>
      </c>
      <c r="K194" s="15">
        <f>IF(G194="","", CHOOSE(MIN(J194, 10), "First", "Second", "Third", "Fourth", "Fifth", "Sixth", "Seventh", "Eighth", "Ninth", "Tenth") &amp; " Floor")</f>
        <v/>
      </c>
      <c r="L194" s="13">
        <f>IF(G194="","",L193+IF(ISNUMBER(E194),E194,0))</f>
        <v/>
      </c>
    </row>
    <row r="195">
      <c r="A195" s="6">
        <f>IF(F195="","",IF(F195=F194,"",F195))</f>
        <v/>
      </c>
      <c r="B195" s="5">
        <f>IF(G195="","",IF(G195=G194,"",G195))</f>
        <v/>
      </c>
      <c r="C195" s="6">
        <f>IF(H195="","",IF(H195=H194,"",H195))</f>
        <v/>
      </c>
      <c r="D195" s="5">
        <f>IF(G195="","", I195 &amp; "-FL" &amp; TEXT(J195, "00"))</f>
        <v/>
      </c>
      <c r="E195" s="12" t="n"/>
      <c r="F195" s="15">
        <f>IF(ROW()-1&gt;SUM(Buildings!$D$2:$D$101), "", INDEX(Buildings!$F$2:$F$101, IFERROR(MATCH(ROW()-1-0.0001, Buildings!$G$2:$G$101, 1), 0)+1))</f>
        <v/>
      </c>
      <c r="G195" s="14">
        <f>IF(ROW()-1&gt;SUM(Buildings!$D$2:$D$101), "", INDEX(Buildings!$B$2:$B$101, IFERROR(MATCH(ROW()-1-0.0001, Buildings!$G$2:$G$101, 1), 0)+1))</f>
        <v/>
      </c>
      <c r="H195" s="15">
        <f>IF(ROW()-1&gt;SUM(Buildings!$D$2:$D$101), "", INDEX(Buildings!$C$2:$C$101, IFERROR(MATCH(ROW()-1-0.0001, Buildings!$G$2:$G$101, 1), 0)+1))</f>
        <v/>
      </c>
      <c r="I195" s="14">
        <f>IF(G195="","",VALUE(SUBSTITUTE(G195,"BLD","")))</f>
        <v/>
      </c>
      <c r="J195" s="14">
        <f>IF(G195="","", (ROW()-1)-IFERROR(INDEX(Buildings!$G$2:$G$101, MATCH(ROW()-1-0.0001, Buildings!$G$2:$G$101, 1)), 0))</f>
        <v/>
      </c>
      <c r="K195" s="15">
        <f>IF(G195="","", CHOOSE(MIN(J195, 10), "First", "Second", "Third", "Fourth", "Fifth", "Sixth", "Seventh", "Eighth", "Ninth", "Tenth") &amp; " Floor")</f>
        <v/>
      </c>
      <c r="L195" s="13">
        <f>IF(G195="","",L194+IF(ISNUMBER(E195),E195,0))</f>
        <v/>
      </c>
    </row>
    <row r="196">
      <c r="A196" s="6">
        <f>IF(F196="","",IF(F196=F195,"",F196))</f>
        <v/>
      </c>
      <c r="B196" s="5">
        <f>IF(G196="","",IF(G196=G195,"",G196))</f>
        <v/>
      </c>
      <c r="C196" s="6">
        <f>IF(H196="","",IF(H196=H195,"",H196))</f>
        <v/>
      </c>
      <c r="D196" s="5">
        <f>IF(G196="","", I196 &amp; "-FL" &amp; TEXT(J196, "00"))</f>
        <v/>
      </c>
      <c r="E196" s="12" t="n"/>
      <c r="F196" s="15">
        <f>IF(ROW()-1&gt;SUM(Buildings!$D$2:$D$101), "", INDEX(Buildings!$F$2:$F$101, IFERROR(MATCH(ROW()-1-0.0001, Buildings!$G$2:$G$101, 1), 0)+1))</f>
        <v/>
      </c>
      <c r="G196" s="14">
        <f>IF(ROW()-1&gt;SUM(Buildings!$D$2:$D$101), "", INDEX(Buildings!$B$2:$B$101, IFERROR(MATCH(ROW()-1-0.0001, Buildings!$G$2:$G$101, 1), 0)+1))</f>
        <v/>
      </c>
      <c r="H196" s="15">
        <f>IF(ROW()-1&gt;SUM(Buildings!$D$2:$D$101), "", INDEX(Buildings!$C$2:$C$101, IFERROR(MATCH(ROW()-1-0.0001, Buildings!$G$2:$G$101, 1), 0)+1))</f>
        <v/>
      </c>
      <c r="I196" s="14">
        <f>IF(G196="","",VALUE(SUBSTITUTE(G196,"BLD","")))</f>
        <v/>
      </c>
      <c r="J196" s="14">
        <f>IF(G196="","", (ROW()-1)-IFERROR(INDEX(Buildings!$G$2:$G$101, MATCH(ROW()-1-0.0001, Buildings!$G$2:$G$101, 1)), 0))</f>
        <v/>
      </c>
      <c r="K196" s="15">
        <f>IF(G196="","", CHOOSE(MIN(J196, 10), "First", "Second", "Third", "Fourth", "Fifth", "Sixth", "Seventh", "Eighth", "Ninth", "Tenth") &amp; " Floor")</f>
        <v/>
      </c>
      <c r="L196" s="13">
        <f>IF(G196="","",L195+IF(ISNUMBER(E196),E196,0))</f>
        <v/>
      </c>
    </row>
    <row r="197">
      <c r="A197" s="6">
        <f>IF(F197="","",IF(F197=F196,"",F197))</f>
        <v/>
      </c>
      <c r="B197" s="5">
        <f>IF(G197="","",IF(G197=G196,"",G197))</f>
        <v/>
      </c>
      <c r="C197" s="6">
        <f>IF(H197="","",IF(H197=H196,"",H197))</f>
        <v/>
      </c>
      <c r="D197" s="5">
        <f>IF(G197="","", I197 &amp; "-FL" &amp; TEXT(J197, "00"))</f>
        <v/>
      </c>
      <c r="E197" s="12" t="n"/>
      <c r="F197" s="15">
        <f>IF(ROW()-1&gt;SUM(Buildings!$D$2:$D$101), "", INDEX(Buildings!$F$2:$F$101, IFERROR(MATCH(ROW()-1-0.0001, Buildings!$G$2:$G$101, 1), 0)+1))</f>
        <v/>
      </c>
      <c r="G197" s="14">
        <f>IF(ROW()-1&gt;SUM(Buildings!$D$2:$D$101), "", INDEX(Buildings!$B$2:$B$101, IFERROR(MATCH(ROW()-1-0.0001, Buildings!$G$2:$G$101, 1), 0)+1))</f>
        <v/>
      </c>
      <c r="H197" s="15">
        <f>IF(ROW()-1&gt;SUM(Buildings!$D$2:$D$101), "", INDEX(Buildings!$C$2:$C$101, IFERROR(MATCH(ROW()-1-0.0001, Buildings!$G$2:$G$101, 1), 0)+1))</f>
        <v/>
      </c>
      <c r="I197" s="14">
        <f>IF(G197="","",VALUE(SUBSTITUTE(G197,"BLD","")))</f>
        <v/>
      </c>
      <c r="J197" s="14">
        <f>IF(G197="","", (ROW()-1)-IFERROR(INDEX(Buildings!$G$2:$G$101, MATCH(ROW()-1-0.0001, Buildings!$G$2:$G$101, 1)), 0))</f>
        <v/>
      </c>
      <c r="K197" s="15">
        <f>IF(G197="","", CHOOSE(MIN(J197, 10), "First", "Second", "Third", "Fourth", "Fifth", "Sixth", "Seventh", "Eighth", "Ninth", "Tenth") &amp; " Floor")</f>
        <v/>
      </c>
      <c r="L197" s="13">
        <f>IF(G197="","",L196+IF(ISNUMBER(E197),E197,0))</f>
        <v/>
      </c>
    </row>
    <row r="198">
      <c r="A198" s="6">
        <f>IF(F198="","",IF(F198=F197,"",F198))</f>
        <v/>
      </c>
      <c r="B198" s="5">
        <f>IF(G198="","",IF(G198=G197,"",G198))</f>
        <v/>
      </c>
      <c r="C198" s="6">
        <f>IF(H198="","",IF(H198=H197,"",H198))</f>
        <v/>
      </c>
      <c r="D198" s="5">
        <f>IF(G198="","", I198 &amp; "-FL" &amp; TEXT(J198, "00"))</f>
        <v/>
      </c>
      <c r="E198" s="12" t="n"/>
      <c r="F198" s="15">
        <f>IF(ROW()-1&gt;SUM(Buildings!$D$2:$D$101), "", INDEX(Buildings!$F$2:$F$101, IFERROR(MATCH(ROW()-1-0.0001, Buildings!$G$2:$G$101, 1), 0)+1))</f>
        <v/>
      </c>
      <c r="G198" s="14">
        <f>IF(ROW()-1&gt;SUM(Buildings!$D$2:$D$101), "", INDEX(Buildings!$B$2:$B$101, IFERROR(MATCH(ROW()-1-0.0001, Buildings!$G$2:$G$101, 1), 0)+1))</f>
        <v/>
      </c>
      <c r="H198" s="15">
        <f>IF(ROW()-1&gt;SUM(Buildings!$D$2:$D$101), "", INDEX(Buildings!$C$2:$C$101, IFERROR(MATCH(ROW()-1-0.0001, Buildings!$G$2:$G$101, 1), 0)+1))</f>
        <v/>
      </c>
      <c r="I198" s="14">
        <f>IF(G198="","",VALUE(SUBSTITUTE(G198,"BLD","")))</f>
        <v/>
      </c>
      <c r="J198" s="14">
        <f>IF(G198="","", (ROW()-1)-IFERROR(INDEX(Buildings!$G$2:$G$101, MATCH(ROW()-1-0.0001, Buildings!$G$2:$G$101, 1)), 0))</f>
        <v/>
      </c>
      <c r="K198" s="15">
        <f>IF(G198="","", CHOOSE(MIN(J198, 10), "First", "Second", "Third", "Fourth", "Fifth", "Sixth", "Seventh", "Eighth", "Ninth", "Tenth") &amp; " Floor")</f>
        <v/>
      </c>
      <c r="L198" s="13">
        <f>IF(G198="","",L197+IF(ISNUMBER(E198),E198,0))</f>
        <v/>
      </c>
    </row>
    <row r="199">
      <c r="A199" s="6">
        <f>IF(F199="","",IF(F199=F198,"",F199))</f>
        <v/>
      </c>
      <c r="B199" s="5">
        <f>IF(G199="","",IF(G199=G198,"",G199))</f>
        <v/>
      </c>
      <c r="C199" s="6">
        <f>IF(H199="","",IF(H199=H198,"",H199))</f>
        <v/>
      </c>
      <c r="D199" s="5">
        <f>IF(G199="","", I199 &amp; "-FL" &amp; TEXT(J199, "00"))</f>
        <v/>
      </c>
      <c r="E199" s="12" t="n"/>
      <c r="F199" s="15">
        <f>IF(ROW()-1&gt;SUM(Buildings!$D$2:$D$101), "", INDEX(Buildings!$F$2:$F$101, IFERROR(MATCH(ROW()-1-0.0001, Buildings!$G$2:$G$101, 1), 0)+1))</f>
        <v/>
      </c>
      <c r="G199" s="14">
        <f>IF(ROW()-1&gt;SUM(Buildings!$D$2:$D$101), "", INDEX(Buildings!$B$2:$B$101, IFERROR(MATCH(ROW()-1-0.0001, Buildings!$G$2:$G$101, 1), 0)+1))</f>
        <v/>
      </c>
      <c r="H199" s="15">
        <f>IF(ROW()-1&gt;SUM(Buildings!$D$2:$D$101), "", INDEX(Buildings!$C$2:$C$101, IFERROR(MATCH(ROW()-1-0.0001, Buildings!$G$2:$G$101, 1), 0)+1))</f>
        <v/>
      </c>
      <c r="I199" s="14">
        <f>IF(G199="","",VALUE(SUBSTITUTE(G199,"BLD","")))</f>
        <v/>
      </c>
      <c r="J199" s="14">
        <f>IF(G199="","", (ROW()-1)-IFERROR(INDEX(Buildings!$G$2:$G$101, MATCH(ROW()-1-0.0001, Buildings!$G$2:$G$101, 1)), 0))</f>
        <v/>
      </c>
      <c r="K199" s="15">
        <f>IF(G199="","", CHOOSE(MIN(J199, 10), "First", "Second", "Third", "Fourth", "Fifth", "Sixth", "Seventh", "Eighth", "Ninth", "Tenth") &amp; " Floor")</f>
        <v/>
      </c>
      <c r="L199" s="13">
        <f>IF(G199="","",L198+IF(ISNUMBER(E199),E199,0))</f>
        <v/>
      </c>
    </row>
    <row r="200">
      <c r="A200" s="6">
        <f>IF(F200="","",IF(F200=F199,"",F200))</f>
        <v/>
      </c>
      <c r="B200" s="5">
        <f>IF(G200="","",IF(G200=G199,"",G200))</f>
        <v/>
      </c>
      <c r="C200" s="6">
        <f>IF(H200="","",IF(H200=H199,"",H200))</f>
        <v/>
      </c>
      <c r="D200" s="5">
        <f>IF(G200="","", I200 &amp; "-FL" &amp; TEXT(J200, "00"))</f>
        <v/>
      </c>
      <c r="E200" s="12" t="n"/>
      <c r="F200" s="15">
        <f>IF(ROW()-1&gt;SUM(Buildings!$D$2:$D$101), "", INDEX(Buildings!$F$2:$F$101, IFERROR(MATCH(ROW()-1-0.0001, Buildings!$G$2:$G$101, 1), 0)+1))</f>
        <v/>
      </c>
      <c r="G200" s="14">
        <f>IF(ROW()-1&gt;SUM(Buildings!$D$2:$D$101), "", INDEX(Buildings!$B$2:$B$101, IFERROR(MATCH(ROW()-1-0.0001, Buildings!$G$2:$G$101, 1), 0)+1))</f>
        <v/>
      </c>
      <c r="H200" s="15">
        <f>IF(ROW()-1&gt;SUM(Buildings!$D$2:$D$101), "", INDEX(Buildings!$C$2:$C$101, IFERROR(MATCH(ROW()-1-0.0001, Buildings!$G$2:$G$101, 1), 0)+1))</f>
        <v/>
      </c>
      <c r="I200" s="14">
        <f>IF(G200="","",VALUE(SUBSTITUTE(G200,"BLD","")))</f>
        <v/>
      </c>
      <c r="J200" s="14">
        <f>IF(G200="","", (ROW()-1)-IFERROR(INDEX(Buildings!$G$2:$G$101, MATCH(ROW()-1-0.0001, Buildings!$G$2:$G$101, 1)), 0))</f>
        <v/>
      </c>
      <c r="K200" s="15">
        <f>IF(G200="","", CHOOSE(MIN(J200, 10), "First", "Second", "Third", "Fourth", "Fifth", "Sixth", "Seventh", "Eighth", "Ninth", "Tenth") &amp; " Floor")</f>
        <v/>
      </c>
      <c r="L200" s="13">
        <f>IF(G200="","",L199+IF(ISNUMBER(E200),E200,0))</f>
        <v/>
      </c>
    </row>
    <row r="201">
      <c r="A201" s="6">
        <f>IF(F201="","",IF(F201=F200,"",F201))</f>
        <v/>
      </c>
      <c r="B201" s="5">
        <f>IF(G201="","",IF(G201=G200,"",G201))</f>
        <v/>
      </c>
      <c r="C201" s="6">
        <f>IF(H201="","",IF(H201=H200,"",H201))</f>
        <v/>
      </c>
      <c r="D201" s="5">
        <f>IF(G201="","", I201 &amp; "-FL" &amp; TEXT(J201, "00"))</f>
        <v/>
      </c>
      <c r="E201" s="12" t="n"/>
      <c r="F201" s="15">
        <f>IF(ROW()-1&gt;SUM(Buildings!$D$2:$D$101), "", INDEX(Buildings!$F$2:$F$101, IFERROR(MATCH(ROW()-1-0.0001, Buildings!$G$2:$G$101, 1), 0)+1))</f>
        <v/>
      </c>
      <c r="G201" s="14">
        <f>IF(ROW()-1&gt;SUM(Buildings!$D$2:$D$101), "", INDEX(Buildings!$B$2:$B$101, IFERROR(MATCH(ROW()-1-0.0001, Buildings!$G$2:$G$101, 1), 0)+1))</f>
        <v/>
      </c>
      <c r="H201" s="15">
        <f>IF(ROW()-1&gt;SUM(Buildings!$D$2:$D$101), "", INDEX(Buildings!$C$2:$C$101, IFERROR(MATCH(ROW()-1-0.0001, Buildings!$G$2:$G$101, 1), 0)+1))</f>
        <v/>
      </c>
      <c r="I201" s="14">
        <f>IF(G201="","",VALUE(SUBSTITUTE(G201,"BLD","")))</f>
        <v/>
      </c>
      <c r="J201" s="14">
        <f>IF(G201="","", (ROW()-1)-IFERROR(INDEX(Buildings!$G$2:$G$101, MATCH(ROW()-1-0.0001, Buildings!$G$2:$G$101, 1)), 0))</f>
        <v/>
      </c>
      <c r="K201" s="15">
        <f>IF(G201="","", CHOOSE(MIN(J201, 10), "First", "Second", "Third", "Fourth", "Fifth", "Sixth", "Seventh", "Eighth", "Ninth", "Tenth") &amp; " Floor")</f>
        <v/>
      </c>
      <c r="L201" s="13">
        <f>IF(G201="","",L200+IF(ISNUMBER(E201),E201,0))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1"/>
  <sheetViews>
    <sheetView showGridLines="1" workbookViewId="0">
      <selection activeCell="A1" sqref="A1"/>
    </sheetView>
  </sheetViews>
  <sheetFormatPr baseColWidth="8" defaultRowHeight="15"/>
  <cols>
    <col width="24" customWidth="1" min="1" max="1"/>
    <col width="26" customWidth="1" min="2" max="2"/>
    <col width="18" customWidth="1" min="3" max="3"/>
    <col width="22" customWidth="1" min="4" max="4"/>
    <col width="46" customWidth="1" min="5" max="5"/>
    <col width="36" customWidth="1" min="6" max="6"/>
    <col width="28" customWidth="1" min="7" max="7"/>
    <col width="44" customWidth="1" min="8" max="8"/>
    <col width="54" customWidth="1" min="9" max="9"/>
    <col hidden="1" width="13" customWidth="1" min="10" max="10"/>
    <col hidden="1" width="13" customWidth="1" min="11" max="11"/>
    <col hidden="1" width="13" customWidth="1" min="12" max="12"/>
    <col hidden="1" width="13" customWidth="1" min="13" max="13"/>
  </cols>
  <sheetData>
    <row r="1">
      <c r="A1" s="3" t="inlineStr">
        <is>
          <t>Branch Name</t>
        </is>
      </c>
      <c r="B1" s="3" t="inlineStr">
        <is>
          <t>Building Name</t>
        </is>
      </c>
      <c r="C1" s="3" t="inlineStr">
        <is>
          <t>Floor ID</t>
        </is>
      </c>
      <c r="D1" s="3" t="inlineStr">
        <is>
          <t>Section Name</t>
        </is>
      </c>
      <c r="E1" s="4" t="inlineStr">
        <is>
          <t>Number of Cubicals (Excluding Meeting Room)</t>
        </is>
      </c>
      <c r="F1" s="4" t="inlineStr">
        <is>
          <t>Number of Cubicals Having HDMI</t>
        </is>
      </c>
      <c r="G1" s="4" t="inlineStr">
        <is>
          <t>Meeting Room (Yes or No)</t>
        </is>
      </c>
      <c r="H1" s="4" t="inlineStr">
        <is>
          <t>Number of Cubicals Inside Meeting Room</t>
        </is>
      </c>
      <c r="I1" s="4" t="inlineStr">
        <is>
          <t>Number of Cubicals Having HDMI (Meeting Room)</t>
        </is>
      </c>
      <c r="J1" s="10" t="inlineStr">
        <is>
          <t>[Helper] Real Branch Name</t>
        </is>
      </c>
      <c r="K1" s="10" t="inlineStr">
        <is>
          <t>[Helper] Real Building Name</t>
        </is>
      </c>
      <c r="L1" s="10" t="inlineStr">
        <is>
          <t>[Helper] Real Floor ID</t>
        </is>
      </c>
      <c r="M1" s="10" t="inlineStr">
        <is>
          <t>[Helper] Real Floor Name</t>
        </is>
      </c>
    </row>
    <row r="2">
      <c r="A2" s="6">
        <f>IF(J2="","",J2)</f>
        <v/>
      </c>
      <c r="B2" s="6">
        <f>IF(K2="","",K2)</f>
        <v/>
      </c>
      <c r="C2" s="5">
        <f>IF(L2="","",L2)</f>
        <v/>
      </c>
      <c r="D2" s="6">
        <f>IF(L2="","", SUBSTITUTE(M2," Floor","") &amp; " " &amp; CHOOSE(MIN((ROW()-1)-IFERROR(INDEX(Floors!$L$2:$L$201, MATCH(ROW()-1-0.0001, Floors!$L$2:$L$201, 1)), 0), 4), "North", "South", "East", "West"))</f>
        <v/>
      </c>
      <c r="E2" s="12" t="n"/>
      <c r="F2" s="12" t="n"/>
      <c r="G2" s="12" t="n"/>
      <c r="H2" s="16" t="n"/>
      <c r="I2" s="16" t="n"/>
      <c r="J2" s="15">
        <f>IF(ROW()-1&gt;SUM(Floors!$E$2:$E$201), "", INDEX(Floors!$F$2:$F$201, IFERROR(MATCH(ROW()-1-0.0001, Floors!$L$2:$L$201, 1), 0)+1))</f>
        <v/>
      </c>
      <c r="K2" s="15">
        <f>IF(ROW()-1&gt;SUM(Floors!$E$2:$E$201), "", INDEX(Floors!$H$2:$H$201, IFERROR(MATCH(ROW()-1-0.0001, Floors!$L$2:$L$201, 1), 0)+1))</f>
        <v/>
      </c>
      <c r="L2" s="14">
        <f>IF(ROW()-1&gt;SUM(Floors!$E$2:$E$201), "", INDEX(Floors!$D$2:$D$201, IFERROR(MATCH(ROW()-1-0.0001, Floors!$L$2:$L$201, 1), 0)+1))</f>
        <v/>
      </c>
      <c r="M2" s="15">
        <f>IF(ROW()-1&gt;SUM(Floors!$E$2:$E$201), "", INDEX(Floors!$K$2:$K$201, IFERROR(MATCH(ROW()-1-0.0001, Floors!$L$2:$L$201, 1), 0)+1))</f>
        <v/>
      </c>
    </row>
    <row r="3">
      <c r="A3" s="6">
        <f>IF(J3="","",IF(J3=J2,"",J3))</f>
        <v/>
      </c>
      <c r="B3" s="6">
        <f>IF(K3="","",IF(K3=K2,"",K3))</f>
        <v/>
      </c>
      <c r="C3" s="5">
        <f>IF(L3="","",IF(L3=L2,"",L3))</f>
        <v/>
      </c>
      <c r="D3" s="6">
        <f>IF(L3="","", SUBSTITUTE(M3," Floor","") &amp; " " &amp; CHOOSE(MIN((ROW()-1)-IFERROR(INDEX(Floors!$L$2:$L$201, MATCH(ROW()-1-0.0001, Floors!$L$2:$L$201, 1)), 0), 4), "North", "South", "East", "West"))</f>
        <v/>
      </c>
      <c r="E3" s="12" t="n"/>
      <c r="F3" s="12" t="n"/>
      <c r="G3" s="12" t="n"/>
      <c r="H3" s="16" t="n"/>
      <c r="I3" s="16" t="n"/>
      <c r="J3" s="15">
        <f>IF(ROW()-1&gt;SUM(Floors!$E$2:$E$201), "", INDEX(Floors!$F$2:$F$201, IFERROR(MATCH(ROW()-1-0.0001, Floors!$L$2:$L$201, 1), 0)+1))</f>
        <v/>
      </c>
      <c r="K3" s="15">
        <f>IF(ROW()-1&gt;SUM(Floors!$E$2:$E$201), "", INDEX(Floors!$H$2:$H$201, IFERROR(MATCH(ROW()-1-0.0001, Floors!$L$2:$L$201, 1), 0)+1))</f>
        <v/>
      </c>
      <c r="L3" s="14">
        <f>IF(ROW()-1&gt;SUM(Floors!$E$2:$E$201), "", INDEX(Floors!$D$2:$D$201, IFERROR(MATCH(ROW()-1-0.0001, Floors!$L$2:$L$201, 1), 0)+1))</f>
        <v/>
      </c>
      <c r="M3" s="15">
        <f>IF(ROW()-1&gt;SUM(Floors!$E$2:$E$201), "", INDEX(Floors!$K$2:$K$201, IFERROR(MATCH(ROW()-1-0.0001, Floors!$L$2:$L$201, 1), 0)+1))</f>
        <v/>
      </c>
    </row>
    <row r="4">
      <c r="A4" s="6">
        <f>IF(J4="","",IF(J4=J3,"",J4))</f>
        <v/>
      </c>
      <c r="B4" s="6">
        <f>IF(K4="","",IF(K4=K3,"",K4))</f>
        <v/>
      </c>
      <c r="C4" s="5">
        <f>IF(L4="","",IF(L4=L3,"",L4))</f>
        <v/>
      </c>
      <c r="D4" s="6">
        <f>IF(L4="","", SUBSTITUTE(M4," Floor","") &amp; " " &amp; CHOOSE(MIN((ROW()-1)-IFERROR(INDEX(Floors!$L$2:$L$201, MATCH(ROW()-1-0.0001, Floors!$L$2:$L$201, 1)), 0), 4), "North", "South", "East", "West"))</f>
        <v/>
      </c>
      <c r="E4" s="12" t="n"/>
      <c r="F4" s="12" t="n"/>
      <c r="G4" s="12" t="n"/>
      <c r="H4" s="16" t="n"/>
      <c r="I4" s="16" t="n"/>
      <c r="J4" s="15">
        <f>IF(ROW()-1&gt;SUM(Floors!$E$2:$E$201), "", INDEX(Floors!$F$2:$F$201, IFERROR(MATCH(ROW()-1-0.0001, Floors!$L$2:$L$201, 1), 0)+1))</f>
        <v/>
      </c>
      <c r="K4" s="15">
        <f>IF(ROW()-1&gt;SUM(Floors!$E$2:$E$201), "", INDEX(Floors!$H$2:$H$201, IFERROR(MATCH(ROW()-1-0.0001, Floors!$L$2:$L$201, 1), 0)+1))</f>
        <v/>
      </c>
      <c r="L4" s="14">
        <f>IF(ROW()-1&gt;SUM(Floors!$E$2:$E$201), "", INDEX(Floors!$D$2:$D$201, IFERROR(MATCH(ROW()-1-0.0001, Floors!$L$2:$L$201, 1), 0)+1))</f>
        <v/>
      </c>
      <c r="M4" s="15">
        <f>IF(ROW()-1&gt;SUM(Floors!$E$2:$E$201), "", INDEX(Floors!$K$2:$K$201, IFERROR(MATCH(ROW()-1-0.0001, Floors!$L$2:$L$201, 1), 0)+1))</f>
        <v/>
      </c>
    </row>
    <row r="5">
      <c r="A5" s="6">
        <f>IF(J5="","",IF(J5=J4,"",J5))</f>
        <v/>
      </c>
      <c r="B5" s="6">
        <f>IF(K5="","",IF(K5=K4,"",K5))</f>
        <v/>
      </c>
      <c r="C5" s="5">
        <f>IF(L5="","",IF(L5=L4,"",L5))</f>
        <v/>
      </c>
      <c r="D5" s="6">
        <f>IF(L5="","", SUBSTITUTE(M5," Floor","") &amp; " " &amp; CHOOSE(MIN((ROW()-1)-IFERROR(INDEX(Floors!$L$2:$L$201, MATCH(ROW()-1-0.0001, Floors!$L$2:$L$201, 1)), 0), 4), "North", "South", "East", "West"))</f>
        <v/>
      </c>
      <c r="E5" s="12" t="n"/>
      <c r="F5" s="12" t="n"/>
      <c r="G5" s="12" t="n"/>
      <c r="H5" s="16" t="n"/>
      <c r="I5" s="16" t="n"/>
      <c r="J5" s="15">
        <f>IF(ROW()-1&gt;SUM(Floors!$E$2:$E$201), "", INDEX(Floors!$F$2:$F$201, IFERROR(MATCH(ROW()-1-0.0001, Floors!$L$2:$L$201, 1), 0)+1))</f>
        <v/>
      </c>
      <c r="K5" s="15">
        <f>IF(ROW()-1&gt;SUM(Floors!$E$2:$E$201), "", INDEX(Floors!$H$2:$H$201, IFERROR(MATCH(ROW()-1-0.0001, Floors!$L$2:$L$201, 1), 0)+1))</f>
        <v/>
      </c>
      <c r="L5" s="14">
        <f>IF(ROW()-1&gt;SUM(Floors!$E$2:$E$201), "", INDEX(Floors!$D$2:$D$201, IFERROR(MATCH(ROW()-1-0.0001, Floors!$L$2:$L$201, 1), 0)+1))</f>
        <v/>
      </c>
      <c r="M5" s="15">
        <f>IF(ROW()-1&gt;SUM(Floors!$E$2:$E$201), "", INDEX(Floors!$K$2:$K$201, IFERROR(MATCH(ROW()-1-0.0001, Floors!$L$2:$L$201, 1), 0)+1))</f>
        <v/>
      </c>
    </row>
    <row r="6">
      <c r="A6" s="6">
        <f>IF(J6="","",IF(J6=J5,"",J6))</f>
        <v/>
      </c>
      <c r="B6" s="6">
        <f>IF(K6="","",IF(K6=K5,"",K6))</f>
        <v/>
      </c>
      <c r="C6" s="5">
        <f>IF(L6="","",IF(L6=L5,"",L6))</f>
        <v/>
      </c>
      <c r="D6" s="6">
        <f>IF(L6="","", SUBSTITUTE(M6," Floor","") &amp; " " &amp; CHOOSE(MIN((ROW()-1)-IFERROR(INDEX(Floors!$L$2:$L$201, MATCH(ROW()-1-0.0001, Floors!$L$2:$L$201, 1)), 0), 4), "North", "South", "East", "West"))</f>
        <v/>
      </c>
      <c r="E6" s="12" t="n"/>
      <c r="F6" s="12" t="n"/>
      <c r="G6" s="12" t="n"/>
      <c r="H6" s="16" t="n"/>
      <c r="I6" s="16" t="n"/>
      <c r="J6" s="15">
        <f>IF(ROW()-1&gt;SUM(Floors!$E$2:$E$201), "", INDEX(Floors!$F$2:$F$201, IFERROR(MATCH(ROW()-1-0.0001, Floors!$L$2:$L$201, 1), 0)+1))</f>
        <v/>
      </c>
      <c r="K6" s="15">
        <f>IF(ROW()-1&gt;SUM(Floors!$E$2:$E$201), "", INDEX(Floors!$H$2:$H$201, IFERROR(MATCH(ROW()-1-0.0001, Floors!$L$2:$L$201, 1), 0)+1))</f>
        <v/>
      </c>
      <c r="L6" s="14">
        <f>IF(ROW()-1&gt;SUM(Floors!$E$2:$E$201), "", INDEX(Floors!$D$2:$D$201, IFERROR(MATCH(ROW()-1-0.0001, Floors!$L$2:$L$201, 1), 0)+1))</f>
        <v/>
      </c>
      <c r="M6" s="15">
        <f>IF(ROW()-1&gt;SUM(Floors!$E$2:$E$201), "", INDEX(Floors!$K$2:$K$201, IFERROR(MATCH(ROW()-1-0.0001, Floors!$L$2:$L$201, 1), 0)+1))</f>
        <v/>
      </c>
    </row>
    <row r="7">
      <c r="A7" s="6">
        <f>IF(J7="","",IF(J7=J6,"",J7))</f>
        <v/>
      </c>
      <c r="B7" s="6">
        <f>IF(K7="","",IF(K7=K6,"",K7))</f>
        <v/>
      </c>
      <c r="C7" s="5">
        <f>IF(L7="","",IF(L7=L6,"",L7))</f>
        <v/>
      </c>
      <c r="D7" s="6">
        <f>IF(L7="","", SUBSTITUTE(M7," Floor","") &amp; " " &amp; CHOOSE(MIN((ROW()-1)-IFERROR(INDEX(Floors!$L$2:$L$201, MATCH(ROW()-1-0.0001, Floors!$L$2:$L$201, 1)), 0), 4), "North", "South", "East", "West"))</f>
        <v/>
      </c>
      <c r="E7" s="12" t="n"/>
      <c r="F7" s="12" t="n"/>
      <c r="G7" s="12" t="n"/>
      <c r="H7" s="16" t="n"/>
      <c r="I7" s="16" t="n"/>
      <c r="J7" s="15">
        <f>IF(ROW()-1&gt;SUM(Floors!$E$2:$E$201), "", INDEX(Floors!$F$2:$F$201, IFERROR(MATCH(ROW()-1-0.0001, Floors!$L$2:$L$201, 1), 0)+1))</f>
        <v/>
      </c>
      <c r="K7" s="15">
        <f>IF(ROW()-1&gt;SUM(Floors!$E$2:$E$201), "", INDEX(Floors!$H$2:$H$201, IFERROR(MATCH(ROW()-1-0.0001, Floors!$L$2:$L$201, 1), 0)+1))</f>
        <v/>
      </c>
      <c r="L7" s="14">
        <f>IF(ROW()-1&gt;SUM(Floors!$E$2:$E$201), "", INDEX(Floors!$D$2:$D$201, IFERROR(MATCH(ROW()-1-0.0001, Floors!$L$2:$L$201, 1), 0)+1))</f>
        <v/>
      </c>
      <c r="M7" s="15">
        <f>IF(ROW()-1&gt;SUM(Floors!$E$2:$E$201), "", INDEX(Floors!$K$2:$K$201, IFERROR(MATCH(ROW()-1-0.0001, Floors!$L$2:$L$201, 1), 0)+1))</f>
        <v/>
      </c>
    </row>
    <row r="8">
      <c r="A8" s="6">
        <f>IF(J8="","",IF(J8=J7,"",J8))</f>
        <v/>
      </c>
      <c r="B8" s="6">
        <f>IF(K8="","",IF(K8=K7,"",K8))</f>
        <v/>
      </c>
      <c r="C8" s="5">
        <f>IF(L8="","",IF(L8=L7,"",L8))</f>
        <v/>
      </c>
      <c r="D8" s="6">
        <f>IF(L8="","", SUBSTITUTE(M8," Floor","") &amp; " " &amp; CHOOSE(MIN((ROW()-1)-IFERROR(INDEX(Floors!$L$2:$L$201, MATCH(ROW()-1-0.0001, Floors!$L$2:$L$201, 1)), 0), 4), "North", "South", "East", "West"))</f>
        <v/>
      </c>
      <c r="E8" s="12" t="n"/>
      <c r="F8" s="12" t="n"/>
      <c r="G8" s="12" t="n"/>
      <c r="H8" s="16" t="n"/>
      <c r="I8" s="16" t="n"/>
      <c r="J8" s="15">
        <f>IF(ROW()-1&gt;SUM(Floors!$E$2:$E$201), "", INDEX(Floors!$F$2:$F$201, IFERROR(MATCH(ROW()-1-0.0001, Floors!$L$2:$L$201, 1), 0)+1))</f>
        <v/>
      </c>
      <c r="K8" s="15">
        <f>IF(ROW()-1&gt;SUM(Floors!$E$2:$E$201), "", INDEX(Floors!$H$2:$H$201, IFERROR(MATCH(ROW()-1-0.0001, Floors!$L$2:$L$201, 1), 0)+1))</f>
        <v/>
      </c>
      <c r="L8" s="14">
        <f>IF(ROW()-1&gt;SUM(Floors!$E$2:$E$201), "", INDEX(Floors!$D$2:$D$201, IFERROR(MATCH(ROW()-1-0.0001, Floors!$L$2:$L$201, 1), 0)+1))</f>
        <v/>
      </c>
      <c r="M8" s="15">
        <f>IF(ROW()-1&gt;SUM(Floors!$E$2:$E$201), "", INDEX(Floors!$K$2:$K$201, IFERROR(MATCH(ROW()-1-0.0001, Floors!$L$2:$L$201, 1), 0)+1))</f>
        <v/>
      </c>
    </row>
    <row r="9">
      <c r="A9" s="6">
        <f>IF(J9="","",IF(J9=J8,"",J9))</f>
        <v/>
      </c>
      <c r="B9" s="6">
        <f>IF(K9="","",IF(K9=K8,"",K9))</f>
        <v/>
      </c>
      <c r="C9" s="5">
        <f>IF(L9="","",IF(L9=L8,"",L9))</f>
        <v/>
      </c>
      <c r="D9" s="6">
        <f>IF(L9="","", SUBSTITUTE(M9," Floor","") &amp; " " &amp; CHOOSE(MIN((ROW()-1)-IFERROR(INDEX(Floors!$L$2:$L$201, MATCH(ROW()-1-0.0001, Floors!$L$2:$L$201, 1)), 0), 4), "North", "South", "East", "West"))</f>
        <v/>
      </c>
      <c r="E9" s="12" t="n"/>
      <c r="F9" s="12" t="n"/>
      <c r="G9" s="12" t="n"/>
      <c r="H9" s="16" t="n"/>
      <c r="I9" s="16" t="n"/>
      <c r="J9" s="15">
        <f>IF(ROW()-1&gt;SUM(Floors!$E$2:$E$201), "", INDEX(Floors!$F$2:$F$201, IFERROR(MATCH(ROW()-1-0.0001, Floors!$L$2:$L$201, 1), 0)+1))</f>
        <v/>
      </c>
      <c r="K9" s="15">
        <f>IF(ROW()-1&gt;SUM(Floors!$E$2:$E$201), "", INDEX(Floors!$H$2:$H$201, IFERROR(MATCH(ROW()-1-0.0001, Floors!$L$2:$L$201, 1), 0)+1))</f>
        <v/>
      </c>
      <c r="L9" s="14">
        <f>IF(ROW()-1&gt;SUM(Floors!$E$2:$E$201), "", INDEX(Floors!$D$2:$D$201, IFERROR(MATCH(ROW()-1-0.0001, Floors!$L$2:$L$201, 1), 0)+1))</f>
        <v/>
      </c>
      <c r="M9" s="15">
        <f>IF(ROW()-1&gt;SUM(Floors!$E$2:$E$201), "", INDEX(Floors!$K$2:$K$201, IFERROR(MATCH(ROW()-1-0.0001, Floors!$L$2:$L$201, 1), 0)+1))</f>
        <v/>
      </c>
    </row>
    <row r="10">
      <c r="A10" s="6">
        <f>IF(J10="","",IF(J10=J9,"",J10))</f>
        <v/>
      </c>
      <c r="B10" s="6">
        <f>IF(K10="","",IF(K10=K9,"",K10))</f>
        <v/>
      </c>
      <c r="C10" s="5">
        <f>IF(L10="","",IF(L10=L9,"",L10))</f>
        <v/>
      </c>
      <c r="D10" s="6">
        <f>IF(L10="","", SUBSTITUTE(M10," Floor","") &amp; " " &amp; CHOOSE(MIN((ROW()-1)-IFERROR(INDEX(Floors!$L$2:$L$201, MATCH(ROW()-1-0.0001, Floors!$L$2:$L$201, 1)), 0), 4), "North", "South", "East", "West"))</f>
        <v/>
      </c>
      <c r="E10" s="12" t="n"/>
      <c r="F10" s="12" t="n"/>
      <c r="G10" s="12" t="n"/>
      <c r="H10" s="16" t="n"/>
      <c r="I10" s="16" t="n"/>
      <c r="J10" s="15">
        <f>IF(ROW()-1&gt;SUM(Floors!$E$2:$E$201), "", INDEX(Floors!$F$2:$F$201, IFERROR(MATCH(ROW()-1-0.0001, Floors!$L$2:$L$201, 1), 0)+1))</f>
        <v/>
      </c>
      <c r="K10" s="15">
        <f>IF(ROW()-1&gt;SUM(Floors!$E$2:$E$201), "", INDEX(Floors!$H$2:$H$201, IFERROR(MATCH(ROW()-1-0.0001, Floors!$L$2:$L$201, 1), 0)+1))</f>
        <v/>
      </c>
      <c r="L10" s="14">
        <f>IF(ROW()-1&gt;SUM(Floors!$E$2:$E$201), "", INDEX(Floors!$D$2:$D$201, IFERROR(MATCH(ROW()-1-0.0001, Floors!$L$2:$L$201, 1), 0)+1))</f>
        <v/>
      </c>
      <c r="M10" s="15">
        <f>IF(ROW()-1&gt;SUM(Floors!$E$2:$E$201), "", INDEX(Floors!$K$2:$K$201, IFERROR(MATCH(ROW()-1-0.0001, Floors!$L$2:$L$201, 1), 0)+1))</f>
        <v/>
      </c>
    </row>
    <row r="11">
      <c r="A11" s="6">
        <f>IF(J11="","",IF(J11=J10,"",J11))</f>
        <v/>
      </c>
      <c r="B11" s="6">
        <f>IF(K11="","",IF(K11=K10,"",K11))</f>
        <v/>
      </c>
      <c r="C11" s="5">
        <f>IF(L11="","",IF(L11=L10,"",L11))</f>
        <v/>
      </c>
      <c r="D11" s="6">
        <f>IF(L11="","", SUBSTITUTE(M11," Floor","") &amp; " " &amp; CHOOSE(MIN((ROW()-1)-IFERROR(INDEX(Floors!$L$2:$L$201, MATCH(ROW()-1-0.0001, Floors!$L$2:$L$201, 1)), 0), 4), "North", "South", "East", "West"))</f>
        <v/>
      </c>
      <c r="E11" s="12" t="n"/>
      <c r="F11" s="12" t="n"/>
      <c r="G11" s="12" t="n"/>
      <c r="H11" s="16" t="n"/>
      <c r="I11" s="16" t="n"/>
      <c r="J11" s="15">
        <f>IF(ROW()-1&gt;SUM(Floors!$E$2:$E$201), "", INDEX(Floors!$F$2:$F$201, IFERROR(MATCH(ROW()-1-0.0001, Floors!$L$2:$L$201, 1), 0)+1))</f>
        <v/>
      </c>
      <c r="K11" s="15">
        <f>IF(ROW()-1&gt;SUM(Floors!$E$2:$E$201), "", INDEX(Floors!$H$2:$H$201, IFERROR(MATCH(ROW()-1-0.0001, Floors!$L$2:$L$201, 1), 0)+1))</f>
        <v/>
      </c>
      <c r="L11" s="14">
        <f>IF(ROW()-1&gt;SUM(Floors!$E$2:$E$201), "", INDEX(Floors!$D$2:$D$201, IFERROR(MATCH(ROW()-1-0.0001, Floors!$L$2:$L$201, 1), 0)+1))</f>
        <v/>
      </c>
      <c r="M11" s="15">
        <f>IF(ROW()-1&gt;SUM(Floors!$E$2:$E$201), "", INDEX(Floors!$K$2:$K$201, IFERROR(MATCH(ROW()-1-0.0001, Floors!$L$2:$L$201, 1), 0)+1))</f>
        <v/>
      </c>
    </row>
    <row r="12">
      <c r="A12" s="6">
        <f>IF(J12="","",IF(J12=J11,"",J12))</f>
        <v/>
      </c>
      <c r="B12" s="6">
        <f>IF(K12="","",IF(K12=K11,"",K12))</f>
        <v/>
      </c>
      <c r="C12" s="5">
        <f>IF(L12="","",IF(L12=L11,"",L12))</f>
        <v/>
      </c>
      <c r="D12" s="6">
        <f>IF(L12="","", SUBSTITUTE(M12," Floor","") &amp; " " &amp; CHOOSE(MIN((ROW()-1)-IFERROR(INDEX(Floors!$L$2:$L$201, MATCH(ROW()-1-0.0001, Floors!$L$2:$L$201, 1)), 0), 4), "North", "South", "East", "West"))</f>
        <v/>
      </c>
      <c r="E12" s="12" t="n"/>
      <c r="F12" s="12" t="n"/>
      <c r="G12" s="12" t="n"/>
      <c r="H12" s="16" t="n"/>
      <c r="I12" s="16" t="n"/>
      <c r="J12" s="15">
        <f>IF(ROW()-1&gt;SUM(Floors!$E$2:$E$201), "", INDEX(Floors!$F$2:$F$201, IFERROR(MATCH(ROW()-1-0.0001, Floors!$L$2:$L$201, 1), 0)+1))</f>
        <v/>
      </c>
      <c r="K12" s="15">
        <f>IF(ROW()-1&gt;SUM(Floors!$E$2:$E$201), "", INDEX(Floors!$H$2:$H$201, IFERROR(MATCH(ROW()-1-0.0001, Floors!$L$2:$L$201, 1), 0)+1))</f>
        <v/>
      </c>
      <c r="L12" s="14">
        <f>IF(ROW()-1&gt;SUM(Floors!$E$2:$E$201), "", INDEX(Floors!$D$2:$D$201, IFERROR(MATCH(ROW()-1-0.0001, Floors!$L$2:$L$201, 1), 0)+1))</f>
        <v/>
      </c>
      <c r="M12" s="15">
        <f>IF(ROW()-1&gt;SUM(Floors!$E$2:$E$201), "", INDEX(Floors!$K$2:$K$201, IFERROR(MATCH(ROW()-1-0.0001, Floors!$L$2:$L$201, 1), 0)+1))</f>
        <v/>
      </c>
    </row>
    <row r="13">
      <c r="A13" s="6">
        <f>IF(J13="","",IF(J13=J12,"",J13))</f>
        <v/>
      </c>
      <c r="B13" s="6">
        <f>IF(K13="","",IF(K13=K12,"",K13))</f>
        <v/>
      </c>
      <c r="C13" s="5">
        <f>IF(L13="","",IF(L13=L12,"",L13))</f>
        <v/>
      </c>
      <c r="D13" s="6">
        <f>IF(L13="","", SUBSTITUTE(M13," Floor","") &amp; " " &amp; CHOOSE(MIN((ROW()-1)-IFERROR(INDEX(Floors!$L$2:$L$201, MATCH(ROW()-1-0.0001, Floors!$L$2:$L$201, 1)), 0), 4), "North", "South", "East", "West"))</f>
        <v/>
      </c>
      <c r="E13" s="12" t="n"/>
      <c r="F13" s="12" t="n"/>
      <c r="G13" s="12" t="n"/>
      <c r="H13" s="16" t="n"/>
      <c r="I13" s="16" t="n"/>
      <c r="J13" s="15">
        <f>IF(ROW()-1&gt;SUM(Floors!$E$2:$E$201), "", INDEX(Floors!$F$2:$F$201, IFERROR(MATCH(ROW()-1-0.0001, Floors!$L$2:$L$201, 1), 0)+1))</f>
        <v/>
      </c>
      <c r="K13" s="15">
        <f>IF(ROW()-1&gt;SUM(Floors!$E$2:$E$201), "", INDEX(Floors!$H$2:$H$201, IFERROR(MATCH(ROW()-1-0.0001, Floors!$L$2:$L$201, 1), 0)+1))</f>
        <v/>
      </c>
      <c r="L13" s="14">
        <f>IF(ROW()-1&gt;SUM(Floors!$E$2:$E$201), "", INDEX(Floors!$D$2:$D$201, IFERROR(MATCH(ROW()-1-0.0001, Floors!$L$2:$L$201, 1), 0)+1))</f>
        <v/>
      </c>
      <c r="M13" s="15">
        <f>IF(ROW()-1&gt;SUM(Floors!$E$2:$E$201), "", INDEX(Floors!$K$2:$K$201, IFERROR(MATCH(ROW()-1-0.0001, Floors!$L$2:$L$201, 1), 0)+1))</f>
        <v/>
      </c>
    </row>
    <row r="14">
      <c r="A14" s="6">
        <f>IF(J14="","",IF(J14=J13,"",J14))</f>
        <v/>
      </c>
      <c r="B14" s="6">
        <f>IF(K14="","",IF(K14=K13,"",K14))</f>
        <v/>
      </c>
      <c r="C14" s="5">
        <f>IF(L14="","",IF(L14=L13,"",L14))</f>
        <v/>
      </c>
      <c r="D14" s="6">
        <f>IF(L14="","", SUBSTITUTE(M14," Floor","") &amp; " " &amp; CHOOSE(MIN((ROW()-1)-IFERROR(INDEX(Floors!$L$2:$L$201, MATCH(ROW()-1-0.0001, Floors!$L$2:$L$201, 1)), 0), 4), "North", "South", "East", "West"))</f>
        <v/>
      </c>
      <c r="E14" s="12" t="n"/>
      <c r="F14" s="12" t="n"/>
      <c r="G14" s="12" t="n"/>
      <c r="H14" s="16" t="n"/>
      <c r="I14" s="16" t="n"/>
      <c r="J14" s="15">
        <f>IF(ROW()-1&gt;SUM(Floors!$E$2:$E$201), "", INDEX(Floors!$F$2:$F$201, IFERROR(MATCH(ROW()-1-0.0001, Floors!$L$2:$L$201, 1), 0)+1))</f>
        <v/>
      </c>
      <c r="K14" s="15">
        <f>IF(ROW()-1&gt;SUM(Floors!$E$2:$E$201), "", INDEX(Floors!$H$2:$H$201, IFERROR(MATCH(ROW()-1-0.0001, Floors!$L$2:$L$201, 1), 0)+1))</f>
        <v/>
      </c>
      <c r="L14" s="14">
        <f>IF(ROW()-1&gt;SUM(Floors!$E$2:$E$201), "", INDEX(Floors!$D$2:$D$201, IFERROR(MATCH(ROW()-1-0.0001, Floors!$L$2:$L$201, 1), 0)+1))</f>
        <v/>
      </c>
      <c r="M14" s="15">
        <f>IF(ROW()-1&gt;SUM(Floors!$E$2:$E$201), "", INDEX(Floors!$K$2:$K$201, IFERROR(MATCH(ROW()-1-0.0001, Floors!$L$2:$L$201, 1), 0)+1))</f>
        <v/>
      </c>
    </row>
    <row r="15">
      <c r="A15" s="6">
        <f>IF(J15="","",IF(J15=J14,"",J15))</f>
        <v/>
      </c>
      <c r="B15" s="6">
        <f>IF(K15="","",IF(K15=K14,"",K15))</f>
        <v/>
      </c>
      <c r="C15" s="5">
        <f>IF(L15="","",IF(L15=L14,"",L15))</f>
        <v/>
      </c>
      <c r="D15" s="6">
        <f>IF(L15="","", SUBSTITUTE(M15," Floor","") &amp; " " &amp; CHOOSE(MIN((ROW()-1)-IFERROR(INDEX(Floors!$L$2:$L$201, MATCH(ROW()-1-0.0001, Floors!$L$2:$L$201, 1)), 0), 4), "North", "South", "East", "West"))</f>
        <v/>
      </c>
      <c r="E15" s="12" t="n"/>
      <c r="F15" s="12" t="n"/>
      <c r="G15" s="12" t="n"/>
      <c r="H15" s="16" t="n"/>
      <c r="I15" s="16" t="n"/>
      <c r="J15" s="15">
        <f>IF(ROW()-1&gt;SUM(Floors!$E$2:$E$201), "", INDEX(Floors!$F$2:$F$201, IFERROR(MATCH(ROW()-1-0.0001, Floors!$L$2:$L$201, 1), 0)+1))</f>
        <v/>
      </c>
      <c r="K15" s="15">
        <f>IF(ROW()-1&gt;SUM(Floors!$E$2:$E$201), "", INDEX(Floors!$H$2:$H$201, IFERROR(MATCH(ROW()-1-0.0001, Floors!$L$2:$L$201, 1), 0)+1))</f>
        <v/>
      </c>
      <c r="L15" s="14">
        <f>IF(ROW()-1&gt;SUM(Floors!$E$2:$E$201), "", INDEX(Floors!$D$2:$D$201, IFERROR(MATCH(ROW()-1-0.0001, Floors!$L$2:$L$201, 1), 0)+1))</f>
        <v/>
      </c>
      <c r="M15" s="15">
        <f>IF(ROW()-1&gt;SUM(Floors!$E$2:$E$201), "", INDEX(Floors!$K$2:$K$201, IFERROR(MATCH(ROW()-1-0.0001, Floors!$L$2:$L$201, 1), 0)+1))</f>
        <v/>
      </c>
    </row>
    <row r="16">
      <c r="A16" s="6">
        <f>IF(J16="","",IF(J16=J15,"",J16))</f>
        <v/>
      </c>
      <c r="B16" s="6">
        <f>IF(K16="","",IF(K16=K15,"",K16))</f>
        <v/>
      </c>
      <c r="C16" s="5">
        <f>IF(L16="","",IF(L16=L15,"",L16))</f>
        <v/>
      </c>
      <c r="D16" s="6">
        <f>IF(L16="","", SUBSTITUTE(M16," Floor","") &amp; " " &amp; CHOOSE(MIN((ROW()-1)-IFERROR(INDEX(Floors!$L$2:$L$201, MATCH(ROW()-1-0.0001, Floors!$L$2:$L$201, 1)), 0), 4), "North", "South", "East", "West"))</f>
        <v/>
      </c>
      <c r="E16" s="12" t="n"/>
      <c r="F16" s="12" t="n"/>
      <c r="G16" s="12" t="n"/>
      <c r="H16" s="16" t="n"/>
      <c r="I16" s="16" t="n"/>
      <c r="J16" s="15">
        <f>IF(ROW()-1&gt;SUM(Floors!$E$2:$E$201), "", INDEX(Floors!$F$2:$F$201, IFERROR(MATCH(ROW()-1-0.0001, Floors!$L$2:$L$201, 1), 0)+1))</f>
        <v/>
      </c>
      <c r="K16" s="15">
        <f>IF(ROW()-1&gt;SUM(Floors!$E$2:$E$201), "", INDEX(Floors!$H$2:$H$201, IFERROR(MATCH(ROW()-1-0.0001, Floors!$L$2:$L$201, 1), 0)+1))</f>
        <v/>
      </c>
      <c r="L16" s="14">
        <f>IF(ROW()-1&gt;SUM(Floors!$E$2:$E$201), "", INDEX(Floors!$D$2:$D$201, IFERROR(MATCH(ROW()-1-0.0001, Floors!$L$2:$L$201, 1), 0)+1))</f>
        <v/>
      </c>
      <c r="M16" s="15">
        <f>IF(ROW()-1&gt;SUM(Floors!$E$2:$E$201), "", INDEX(Floors!$K$2:$K$201, IFERROR(MATCH(ROW()-1-0.0001, Floors!$L$2:$L$201, 1), 0)+1))</f>
        <v/>
      </c>
    </row>
    <row r="17">
      <c r="A17" s="6">
        <f>IF(J17="","",IF(J17=J16,"",J17))</f>
        <v/>
      </c>
      <c r="B17" s="6">
        <f>IF(K17="","",IF(K17=K16,"",K17))</f>
        <v/>
      </c>
      <c r="C17" s="5">
        <f>IF(L17="","",IF(L17=L16,"",L17))</f>
        <v/>
      </c>
      <c r="D17" s="6">
        <f>IF(L17="","", SUBSTITUTE(M17," Floor","") &amp; " " &amp; CHOOSE(MIN((ROW()-1)-IFERROR(INDEX(Floors!$L$2:$L$201, MATCH(ROW()-1-0.0001, Floors!$L$2:$L$201, 1)), 0), 4), "North", "South", "East", "West"))</f>
        <v/>
      </c>
      <c r="E17" s="12" t="n"/>
      <c r="F17" s="12" t="n"/>
      <c r="G17" s="12" t="n"/>
      <c r="H17" s="16" t="n"/>
      <c r="I17" s="16" t="n"/>
      <c r="J17" s="15">
        <f>IF(ROW()-1&gt;SUM(Floors!$E$2:$E$201), "", INDEX(Floors!$F$2:$F$201, IFERROR(MATCH(ROW()-1-0.0001, Floors!$L$2:$L$201, 1), 0)+1))</f>
        <v/>
      </c>
      <c r="K17" s="15">
        <f>IF(ROW()-1&gt;SUM(Floors!$E$2:$E$201), "", INDEX(Floors!$H$2:$H$201, IFERROR(MATCH(ROW()-1-0.0001, Floors!$L$2:$L$201, 1), 0)+1))</f>
        <v/>
      </c>
      <c r="L17" s="14">
        <f>IF(ROW()-1&gt;SUM(Floors!$E$2:$E$201), "", INDEX(Floors!$D$2:$D$201, IFERROR(MATCH(ROW()-1-0.0001, Floors!$L$2:$L$201, 1), 0)+1))</f>
        <v/>
      </c>
      <c r="M17" s="15">
        <f>IF(ROW()-1&gt;SUM(Floors!$E$2:$E$201), "", INDEX(Floors!$K$2:$K$201, IFERROR(MATCH(ROW()-1-0.0001, Floors!$L$2:$L$201, 1), 0)+1))</f>
        <v/>
      </c>
    </row>
    <row r="18">
      <c r="A18" s="6">
        <f>IF(J18="","",IF(J18=J17,"",J18))</f>
        <v/>
      </c>
      <c r="B18" s="6">
        <f>IF(K18="","",IF(K18=K17,"",K18))</f>
        <v/>
      </c>
      <c r="C18" s="5">
        <f>IF(L18="","",IF(L18=L17,"",L18))</f>
        <v/>
      </c>
      <c r="D18" s="6">
        <f>IF(L18="","", SUBSTITUTE(M18," Floor","") &amp; " " &amp; CHOOSE(MIN((ROW()-1)-IFERROR(INDEX(Floors!$L$2:$L$201, MATCH(ROW()-1-0.0001, Floors!$L$2:$L$201, 1)), 0), 4), "North", "South", "East", "West"))</f>
        <v/>
      </c>
      <c r="E18" s="12" t="n"/>
      <c r="F18" s="12" t="n"/>
      <c r="G18" s="12" t="n"/>
      <c r="H18" s="16" t="n"/>
      <c r="I18" s="16" t="n"/>
      <c r="J18" s="15">
        <f>IF(ROW()-1&gt;SUM(Floors!$E$2:$E$201), "", INDEX(Floors!$F$2:$F$201, IFERROR(MATCH(ROW()-1-0.0001, Floors!$L$2:$L$201, 1), 0)+1))</f>
        <v/>
      </c>
      <c r="K18" s="15">
        <f>IF(ROW()-1&gt;SUM(Floors!$E$2:$E$201), "", INDEX(Floors!$H$2:$H$201, IFERROR(MATCH(ROW()-1-0.0001, Floors!$L$2:$L$201, 1), 0)+1))</f>
        <v/>
      </c>
      <c r="L18" s="14">
        <f>IF(ROW()-1&gt;SUM(Floors!$E$2:$E$201), "", INDEX(Floors!$D$2:$D$201, IFERROR(MATCH(ROW()-1-0.0001, Floors!$L$2:$L$201, 1), 0)+1))</f>
        <v/>
      </c>
      <c r="M18" s="15">
        <f>IF(ROW()-1&gt;SUM(Floors!$E$2:$E$201), "", INDEX(Floors!$K$2:$K$201, IFERROR(MATCH(ROW()-1-0.0001, Floors!$L$2:$L$201, 1), 0)+1))</f>
        <v/>
      </c>
    </row>
    <row r="19">
      <c r="A19" s="6">
        <f>IF(J19="","",IF(J19=J18,"",J19))</f>
        <v/>
      </c>
      <c r="B19" s="6">
        <f>IF(K19="","",IF(K19=K18,"",K19))</f>
        <v/>
      </c>
      <c r="C19" s="5">
        <f>IF(L19="","",IF(L19=L18,"",L19))</f>
        <v/>
      </c>
      <c r="D19" s="6">
        <f>IF(L19="","", SUBSTITUTE(M19," Floor","") &amp; " " &amp; CHOOSE(MIN((ROW()-1)-IFERROR(INDEX(Floors!$L$2:$L$201, MATCH(ROW()-1-0.0001, Floors!$L$2:$L$201, 1)), 0), 4), "North", "South", "East", "West"))</f>
        <v/>
      </c>
      <c r="E19" s="12" t="n"/>
      <c r="F19" s="12" t="n"/>
      <c r="G19" s="12" t="n"/>
      <c r="H19" s="16" t="n"/>
      <c r="I19" s="16" t="n"/>
      <c r="J19" s="15">
        <f>IF(ROW()-1&gt;SUM(Floors!$E$2:$E$201), "", INDEX(Floors!$F$2:$F$201, IFERROR(MATCH(ROW()-1-0.0001, Floors!$L$2:$L$201, 1), 0)+1))</f>
        <v/>
      </c>
      <c r="K19" s="15">
        <f>IF(ROW()-1&gt;SUM(Floors!$E$2:$E$201), "", INDEX(Floors!$H$2:$H$201, IFERROR(MATCH(ROW()-1-0.0001, Floors!$L$2:$L$201, 1), 0)+1))</f>
        <v/>
      </c>
      <c r="L19" s="14">
        <f>IF(ROW()-1&gt;SUM(Floors!$E$2:$E$201), "", INDEX(Floors!$D$2:$D$201, IFERROR(MATCH(ROW()-1-0.0001, Floors!$L$2:$L$201, 1), 0)+1))</f>
        <v/>
      </c>
      <c r="M19" s="15">
        <f>IF(ROW()-1&gt;SUM(Floors!$E$2:$E$201), "", INDEX(Floors!$K$2:$K$201, IFERROR(MATCH(ROW()-1-0.0001, Floors!$L$2:$L$201, 1), 0)+1))</f>
        <v/>
      </c>
    </row>
    <row r="20">
      <c r="A20" s="6">
        <f>IF(J20="","",IF(J20=J19,"",J20))</f>
        <v/>
      </c>
      <c r="B20" s="6">
        <f>IF(K20="","",IF(K20=K19,"",K20))</f>
        <v/>
      </c>
      <c r="C20" s="5">
        <f>IF(L20="","",IF(L20=L19,"",L20))</f>
        <v/>
      </c>
      <c r="D20" s="6">
        <f>IF(L20="","", SUBSTITUTE(M20," Floor","") &amp; " " &amp; CHOOSE(MIN((ROW()-1)-IFERROR(INDEX(Floors!$L$2:$L$201, MATCH(ROW()-1-0.0001, Floors!$L$2:$L$201, 1)), 0), 4), "North", "South", "East", "West"))</f>
        <v/>
      </c>
      <c r="E20" s="12" t="n"/>
      <c r="F20" s="12" t="n"/>
      <c r="G20" s="12" t="n"/>
      <c r="H20" s="16" t="n"/>
      <c r="I20" s="16" t="n"/>
      <c r="J20" s="15">
        <f>IF(ROW()-1&gt;SUM(Floors!$E$2:$E$201), "", INDEX(Floors!$F$2:$F$201, IFERROR(MATCH(ROW()-1-0.0001, Floors!$L$2:$L$201, 1), 0)+1))</f>
        <v/>
      </c>
      <c r="K20" s="15">
        <f>IF(ROW()-1&gt;SUM(Floors!$E$2:$E$201), "", INDEX(Floors!$H$2:$H$201, IFERROR(MATCH(ROW()-1-0.0001, Floors!$L$2:$L$201, 1), 0)+1))</f>
        <v/>
      </c>
      <c r="L20" s="14">
        <f>IF(ROW()-1&gt;SUM(Floors!$E$2:$E$201), "", INDEX(Floors!$D$2:$D$201, IFERROR(MATCH(ROW()-1-0.0001, Floors!$L$2:$L$201, 1), 0)+1))</f>
        <v/>
      </c>
      <c r="M20" s="15">
        <f>IF(ROW()-1&gt;SUM(Floors!$E$2:$E$201), "", INDEX(Floors!$K$2:$K$201, IFERROR(MATCH(ROW()-1-0.0001, Floors!$L$2:$L$201, 1), 0)+1))</f>
        <v/>
      </c>
    </row>
    <row r="21">
      <c r="A21" s="6">
        <f>IF(J21="","",IF(J21=J20,"",J21))</f>
        <v/>
      </c>
      <c r="B21" s="6">
        <f>IF(K21="","",IF(K21=K20,"",K21))</f>
        <v/>
      </c>
      <c r="C21" s="5">
        <f>IF(L21="","",IF(L21=L20,"",L21))</f>
        <v/>
      </c>
      <c r="D21" s="6">
        <f>IF(L21="","", SUBSTITUTE(M21," Floor","") &amp; " " &amp; CHOOSE(MIN((ROW()-1)-IFERROR(INDEX(Floors!$L$2:$L$201, MATCH(ROW()-1-0.0001, Floors!$L$2:$L$201, 1)), 0), 4), "North", "South", "East", "West"))</f>
        <v/>
      </c>
      <c r="E21" s="12" t="n"/>
      <c r="F21" s="12" t="n"/>
      <c r="G21" s="12" t="n"/>
      <c r="H21" s="16" t="n"/>
      <c r="I21" s="16" t="n"/>
      <c r="J21" s="15">
        <f>IF(ROW()-1&gt;SUM(Floors!$E$2:$E$201), "", INDEX(Floors!$F$2:$F$201, IFERROR(MATCH(ROW()-1-0.0001, Floors!$L$2:$L$201, 1), 0)+1))</f>
        <v/>
      </c>
      <c r="K21" s="15">
        <f>IF(ROW()-1&gt;SUM(Floors!$E$2:$E$201), "", INDEX(Floors!$H$2:$H$201, IFERROR(MATCH(ROW()-1-0.0001, Floors!$L$2:$L$201, 1), 0)+1))</f>
        <v/>
      </c>
      <c r="L21" s="14">
        <f>IF(ROW()-1&gt;SUM(Floors!$E$2:$E$201), "", INDEX(Floors!$D$2:$D$201, IFERROR(MATCH(ROW()-1-0.0001, Floors!$L$2:$L$201, 1), 0)+1))</f>
        <v/>
      </c>
      <c r="M21" s="15">
        <f>IF(ROW()-1&gt;SUM(Floors!$E$2:$E$201), "", INDEX(Floors!$K$2:$K$201, IFERROR(MATCH(ROW()-1-0.0001, Floors!$L$2:$L$201, 1), 0)+1))</f>
        <v/>
      </c>
    </row>
    <row r="22">
      <c r="A22" s="6">
        <f>IF(J22="","",IF(J22=J21,"",J22))</f>
        <v/>
      </c>
      <c r="B22" s="6">
        <f>IF(K22="","",IF(K22=K21,"",K22))</f>
        <v/>
      </c>
      <c r="C22" s="5">
        <f>IF(L22="","",IF(L22=L21,"",L22))</f>
        <v/>
      </c>
      <c r="D22" s="6">
        <f>IF(L22="","", SUBSTITUTE(M22," Floor","") &amp; " " &amp; CHOOSE(MIN((ROW()-1)-IFERROR(INDEX(Floors!$L$2:$L$201, MATCH(ROW()-1-0.0001, Floors!$L$2:$L$201, 1)), 0), 4), "North", "South", "East", "West"))</f>
        <v/>
      </c>
      <c r="E22" s="12" t="n"/>
      <c r="F22" s="12" t="n"/>
      <c r="G22" s="12" t="n"/>
      <c r="H22" s="16" t="n"/>
      <c r="I22" s="16" t="n"/>
      <c r="J22" s="15">
        <f>IF(ROW()-1&gt;SUM(Floors!$E$2:$E$201), "", INDEX(Floors!$F$2:$F$201, IFERROR(MATCH(ROW()-1-0.0001, Floors!$L$2:$L$201, 1), 0)+1))</f>
        <v/>
      </c>
      <c r="K22" s="15">
        <f>IF(ROW()-1&gt;SUM(Floors!$E$2:$E$201), "", INDEX(Floors!$H$2:$H$201, IFERROR(MATCH(ROW()-1-0.0001, Floors!$L$2:$L$201, 1), 0)+1))</f>
        <v/>
      </c>
      <c r="L22" s="14">
        <f>IF(ROW()-1&gt;SUM(Floors!$E$2:$E$201), "", INDEX(Floors!$D$2:$D$201, IFERROR(MATCH(ROW()-1-0.0001, Floors!$L$2:$L$201, 1), 0)+1))</f>
        <v/>
      </c>
      <c r="M22" s="15">
        <f>IF(ROW()-1&gt;SUM(Floors!$E$2:$E$201), "", INDEX(Floors!$K$2:$K$201, IFERROR(MATCH(ROW()-1-0.0001, Floors!$L$2:$L$201, 1), 0)+1))</f>
        <v/>
      </c>
    </row>
    <row r="23">
      <c r="A23" s="6">
        <f>IF(J23="","",IF(J23=J22,"",J23))</f>
        <v/>
      </c>
      <c r="B23" s="6">
        <f>IF(K23="","",IF(K23=K22,"",K23))</f>
        <v/>
      </c>
      <c r="C23" s="5">
        <f>IF(L23="","",IF(L23=L22,"",L23))</f>
        <v/>
      </c>
      <c r="D23" s="6">
        <f>IF(L23="","", SUBSTITUTE(M23," Floor","") &amp; " " &amp; CHOOSE(MIN((ROW()-1)-IFERROR(INDEX(Floors!$L$2:$L$201, MATCH(ROW()-1-0.0001, Floors!$L$2:$L$201, 1)), 0), 4), "North", "South", "East", "West"))</f>
        <v/>
      </c>
      <c r="E23" s="12" t="n"/>
      <c r="F23" s="12" t="n"/>
      <c r="G23" s="12" t="n"/>
      <c r="H23" s="16" t="n"/>
      <c r="I23" s="16" t="n"/>
      <c r="J23" s="15">
        <f>IF(ROW()-1&gt;SUM(Floors!$E$2:$E$201), "", INDEX(Floors!$F$2:$F$201, IFERROR(MATCH(ROW()-1-0.0001, Floors!$L$2:$L$201, 1), 0)+1))</f>
        <v/>
      </c>
      <c r="K23" s="15">
        <f>IF(ROW()-1&gt;SUM(Floors!$E$2:$E$201), "", INDEX(Floors!$H$2:$H$201, IFERROR(MATCH(ROW()-1-0.0001, Floors!$L$2:$L$201, 1), 0)+1))</f>
        <v/>
      </c>
      <c r="L23" s="14">
        <f>IF(ROW()-1&gt;SUM(Floors!$E$2:$E$201), "", INDEX(Floors!$D$2:$D$201, IFERROR(MATCH(ROW()-1-0.0001, Floors!$L$2:$L$201, 1), 0)+1))</f>
        <v/>
      </c>
      <c r="M23" s="15">
        <f>IF(ROW()-1&gt;SUM(Floors!$E$2:$E$201), "", INDEX(Floors!$K$2:$K$201, IFERROR(MATCH(ROW()-1-0.0001, Floors!$L$2:$L$201, 1), 0)+1))</f>
        <v/>
      </c>
    </row>
    <row r="24">
      <c r="A24" s="6">
        <f>IF(J24="","",IF(J24=J23,"",J24))</f>
        <v/>
      </c>
      <c r="B24" s="6">
        <f>IF(K24="","",IF(K24=K23,"",K24))</f>
        <v/>
      </c>
      <c r="C24" s="5">
        <f>IF(L24="","",IF(L24=L23,"",L24))</f>
        <v/>
      </c>
      <c r="D24" s="6">
        <f>IF(L24="","", SUBSTITUTE(M24," Floor","") &amp; " " &amp; CHOOSE(MIN((ROW()-1)-IFERROR(INDEX(Floors!$L$2:$L$201, MATCH(ROW()-1-0.0001, Floors!$L$2:$L$201, 1)), 0), 4), "North", "South", "East", "West"))</f>
        <v/>
      </c>
      <c r="E24" s="12" t="n"/>
      <c r="F24" s="12" t="n"/>
      <c r="G24" s="12" t="n"/>
      <c r="H24" s="16" t="n"/>
      <c r="I24" s="16" t="n"/>
      <c r="J24" s="15">
        <f>IF(ROW()-1&gt;SUM(Floors!$E$2:$E$201), "", INDEX(Floors!$F$2:$F$201, IFERROR(MATCH(ROW()-1-0.0001, Floors!$L$2:$L$201, 1), 0)+1))</f>
        <v/>
      </c>
      <c r="K24" s="15">
        <f>IF(ROW()-1&gt;SUM(Floors!$E$2:$E$201), "", INDEX(Floors!$H$2:$H$201, IFERROR(MATCH(ROW()-1-0.0001, Floors!$L$2:$L$201, 1), 0)+1))</f>
        <v/>
      </c>
      <c r="L24" s="14">
        <f>IF(ROW()-1&gt;SUM(Floors!$E$2:$E$201), "", INDEX(Floors!$D$2:$D$201, IFERROR(MATCH(ROW()-1-0.0001, Floors!$L$2:$L$201, 1), 0)+1))</f>
        <v/>
      </c>
      <c r="M24" s="15">
        <f>IF(ROW()-1&gt;SUM(Floors!$E$2:$E$201), "", INDEX(Floors!$K$2:$K$201, IFERROR(MATCH(ROW()-1-0.0001, Floors!$L$2:$L$201, 1), 0)+1))</f>
        <v/>
      </c>
    </row>
    <row r="25">
      <c r="A25" s="6">
        <f>IF(J25="","",IF(J25=J24,"",J25))</f>
        <v/>
      </c>
      <c r="B25" s="6">
        <f>IF(K25="","",IF(K25=K24,"",K25))</f>
        <v/>
      </c>
      <c r="C25" s="5">
        <f>IF(L25="","",IF(L25=L24,"",L25))</f>
        <v/>
      </c>
      <c r="D25" s="6">
        <f>IF(L25="","", SUBSTITUTE(M25," Floor","") &amp; " " &amp; CHOOSE(MIN((ROW()-1)-IFERROR(INDEX(Floors!$L$2:$L$201, MATCH(ROW()-1-0.0001, Floors!$L$2:$L$201, 1)), 0), 4), "North", "South", "East", "West"))</f>
        <v/>
      </c>
      <c r="E25" s="12" t="n"/>
      <c r="F25" s="12" t="n"/>
      <c r="G25" s="12" t="n"/>
      <c r="H25" s="16" t="n"/>
      <c r="I25" s="16" t="n"/>
      <c r="J25" s="15">
        <f>IF(ROW()-1&gt;SUM(Floors!$E$2:$E$201), "", INDEX(Floors!$F$2:$F$201, IFERROR(MATCH(ROW()-1-0.0001, Floors!$L$2:$L$201, 1), 0)+1))</f>
        <v/>
      </c>
      <c r="K25" s="15">
        <f>IF(ROW()-1&gt;SUM(Floors!$E$2:$E$201), "", INDEX(Floors!$H$2:$H$201, IFERROR(MATCH(ROW()-1-0.0001, Floors!$L$2:$L$201, 1), 0)+1))</f>
        <v/>
      </c>
      <c r="L25" s="14">
        <f>IF(ROW()-1&gt;SUM(Floors!$E$2:$E$201), "", INDEX(Floors!$D$2:$D$201, IFERROR(MATCH(ROW()-1-0.0001, Floors!$L$2:$L$201, 1), 0)+1))</f>
        <v/>
      </c>
      <c r="M25" s="15">
        <f>IF(ROW()-1&gt;SUM(Floors!$E$2:$E$201), "", INDEX(Floors!$K$2:$K$201, IFERROR(MATCH(ROW()-1-0.0001, Floors!$L$2:$L$201, 1), 0)+1))</f>
        <v/>
      </c>
    </row>
    <row r="26">
      <c r="A26" s="6">
        <f>IF(J26="","",IF(J26=J25,"",J26))</f>
        <v/>
      </c>
      <c r="B26" s="6">
        <f>IF(K26="","",IF(K26=K25,"",K26))</f>
        <v/>
      </c>
      <c r="C26" s="5">
        <f>IF(L26="","",IF(L26=L25,"",L26))</f>
        <v/>
      </c>
      <c r="D26" s="6">
        <f>IF(L26="","", SUBSTITUTE(M26," Floor","") &amp; " " &amp; CHOOSE(MIN((ROW()-1)-IFERROR(INDEX(Floors!$L$2:$L$201, MATCH(ROW()-1-0.0001, Floors!$L$2:$L$201, 1)), 0), 4), "North", "South", "East", "West"))</f>
        <v/>
      </c>
      <c r="E26" s="12" t="n"/>
      <c r="F26" s="12" t="n"/>
      <c r="G26" s="12" t="n"/>
      <c r="H26" s="16" t="n"/>
      <c r="I26" s="16" t="n"/>
      <c r="J26" s="15">
        <f>IF(ROW()-1&gt;SUM(Floors!$E$2:$E$201), "", INDEX(Floors!$F$2:$F$201, IFERROR(MATCH(ROW()-1-0.0001, Floors!$L$2:$L$201, 1), 0)+1))</f>
        <v/>
      </c>
      <c r="K26" s="15">
        <f>IF(ROW()-1&gt;SUM(Floors!$E$2:$E$201), "", INDEX(Floors!$H$2:$H$201, IFERROR(MATCH(ROW()-1-0.0001, Floors!$L$2:$L$201, 1), 0)+1))</f>
        <v/>
      </c>
      <c r="L26" s="14">
        <f>IF(ROW()-1&gt;SUM(Floors!$E$2:$E$201), "", INDEX(Floors!$D$2:$D$201, IFERROR(MATCH(ROW()-1-0.0001, Floors!$L$2:$L$201, 1), 0)+1))</f>
        <v/>
      </c>
      <c r="M26" s="15">
        <f>IF(ROW()-1&gt;SUM(Floors!$E$2:$E$201), "", INDEX(Floors!$K$2:$K$201, IFERROR(MATCH(ROW()-1-0.0001, Floors!$L$2:$L$201, 1), 0)+1))</f>
        <v/>
      </c>
    </row>
    <row r="27">
      <c r="A27" s="6">
        <f>IF(J27="","",IF(J27=J26,"",J27))</f>
        <v/>
      </c>
      <c r="B27" s="6">
        <f>IF(K27="","",IF(K27=K26,"",K27))</f>
        <v/>
      </c>
      <c r="C27" s="5">
        <f>IF(L27="","",IF(L27=L26,"",L27))</f>
        <v/>
      </c>
      <c r="D27" s="6">
        <f>IF(L27="","", SUBSTITUTE(M27," Floor","") &amp; " " &amp; CHOOSE(MIN((ROW()-1)-IFERROR(INDEX(Floors!$L$2:$L$201, MATCH(ROW()-1-0.0001, Floors!$L$2:$L$201, 1)), 0), 4), "North", "South", "East", "West"))</f>
        <v/>
      </c>
      <c r="E27" s="12" t="n"/>
      <c r="F27" s="12" t="n"/>
      <c r="G27" s="12" t="n"/>
      <c r="H27" s="16" t="n"/>
      <c r="I27" s="16" t="n"/>
      <c r="J27" s="15">
        <f>IF(ROW()-1&gt;SUM(Floors!$E$2:$E$201), "", INDEX(Floors!$F$2:$F$201, IFERROR(MATCH(ROW()-1-0.0001, Floors!$L$2:$L$201, 1), 0)+1))</f>
        <v/>
      </c>
      <c r="K27" s="15">
        <f>IF(ROW()-1&gt;SUM(Floors!$E$2:$E$201), "", INDEX(Floors!$H$2:$H$201, IFERROR(MATCH(ROW()-1-0.0001, Floors!$L$2:$L$201, 1), 0)+1))</f>
        <v/>
      </c>
      <c r="L27" s="14">
        <f>IF(ROW()-1&gt;SUM(Floors!$E$2:$E$201), "", INDEX(Floors!$D$2:$D$201, IFERROR(MATCH(ROW()-1-0.0001, Floors!$L$2:$L$201, 1), 0)+1))</f>
        <v/>
      </c>
      <c r="M27" s="15">
        <f>IF(ROW()-1&gt;SUM(Floors!$E$2:$E$201), "", INDEX(Floors!$K$2:$K$201, IFERROR(MATCH(ROW()-1-0.0001, Floors!$L$2:$L$201, 1), 0)+1))</f>
        <v/>
      </c>
    </row>
    <row r="28">
      <c r="A28" s="6">
        <f>IF(J28="","",IF(J28=J27,"",J28))</f>
        <v/>
      </c>
      <c r="B28" s="6">
        <f>IF(K28="","",IF(K28=K27,"",K28))</f>
        <v/>
      </c>
      <c r="C28" s="5">
        <f>IF(L28="","",IF(L28=L27,"",L28))</f>
        <v/>
      </c>
      <c r="D28" s="6">
        <f>IF(L28="","", SUBSTITUTE(M28," Floor","") &amp; " " &amp; CHOOSE(MIN((ROW()-1)-IFERROR(INDEX(Floors!$L$2:$L$201, MATCH(ROW()-1-0.0001, Floors!$L$2:$L$201, 1)), 0), 4), "North", "South", "East", "West"))</f>
        <v/>
      </c>
      <c r="E28" s="12" t="n"/>
      <c r="F28" s="12" t="n"/>
      <c r="G28" s="12" t="n"/>
      <c r="H28" s="16" t="n"/>
      <c r="I28" s="16" t="n"/>
      <c r="J28" s="15">
        <f>IF(ROW()-1&gt;SUM(Floors!$E$2:$E$201), "", INDEX(Floors!$F$2:$F$201, IFERROR(MATCH(ROW()-1-0.0001, Floors!$L$2:$L$201, 1), 0)+1))</f>
        <v/>
      </c>
      <c r="K28" s="15">
        <f>IF(ROW()-1&gt;SUM(Floors!$E$2:$E$201), "", INDEX(Floors!$H$2:$H$201, IFERROR(MATCH(ROW()-1-0.0001, Floors!$L$2:$L$201, 1), 0)+1))</f>
        <v/>
      </c>
      <c r="L28" s="14">
        <f>IF(ROW()-1&gt;SUM(Floors!$E$2:$E$201), "", INDEX(Floors!$D$2:$D$201, IFERROR(MATCH(ROW()-1-0.0001, Floors!$L$2:$L$201, 1), 0)+1))</f>
        <v/>
      </c>
      <c r="M28" s="15">
        <f>IF(ROW()-1&gt;SUM(Floors!$E$2:$E$201), "", INDEX(Floors!$K$2:$K$201, IFERROR(MATCH(ROW()-1-0.0001, Floors!$L$2:$L$201, 1), 0)+1))</f>
        <v/>
      </c>
    </row>
    <row r="29">
      <c r="A29" s="6">
        <f>IF(J29="","",IF(J29=J28,"",J29))</f>
        <v/>
      </c>
      <c r="B29" s="6">
        <f>IF(K29="","",IF(K29=K28,"",K29))</f>
        <v/>
      </c>
      <c r="C29" s="5">
        <f>IF(L29="","",IF(L29=L28,"",L29))</f>
        <v/>
      </c>
      <c r="D29" s="6">
        <f>IF(L29="","", SUBSTITUTE(M29," Floor","") &amp; " " &amp; CHOOSE(MIN((ROW()-1)-IFERROR(INDEX(Floors!$L$2:$L$201, MATCH(ROW()-1-0.0001, Floors!$L$2:$L$201, 1)), 0), 4), "North", "South", "East", "West"))</f>
        <v/>
      </c>
      <c r="E29" s="12" t="n"/>
      <c r="F29" s="12" t="n"/>
      <c r="G29" s="12" t="n"/>
      <c r="H29" s="16" t="n"/>
      <c r="I29" s="16" t="n"/>
      <c r="J29" s="15">
        <f>IF(ROW()-1&gt;SUM(Floors!$E$2:$E$201), "", INDEX(Floors!$F$2:$F$201, IFERROR(MATCH(ROW()-1-0.0001, Floors!$L$2:$L$201, 1), 0)+1))</f>
        <v/>
      </c>
      <c r="K29" s="15">
        <f>IF(ROW()-1&gt;SUM(Floors!$E$2:$E$201), "", INDEX(Floors!$H$2:$H$201, IFERROR(MATCH(ROW()-1-0.0001, Floors!$L$2:$L$201, 1), 0)+1))</f>
        <v/>
      </c>
      <c r="L29" s="14">
        <f>IF(ROW()-1&gt;SUM(Floors!$E$2:$E$201), "", INDEX(Floors!$D$2:$D$201, IFERROR(MATCH(ROW()-1-0.0001, Floors!$L$2:$L$201, 1), 0)+1))</f>
        <v/>
      </c>
      <c r="M29" s="15">
        <f>IF(ROW()-1&gt;SUM(Floors!$E$2:$E$201), "", INDEX(Floors!$K$2:$K$201, IFERROR(MATCH(ROW()-1-0.0001, Floors!$L$2:$L$201, 1), 0)+1))</f>
        <v/>
      </c>
    </row>
    <row r="30">
      <c r="A30" s="6">
        <f>IF(J30="","",IF(J30=J29,"",J30))</f>
        <v/>
      </c>
      <c r="B30" s="6">
        <f>IF(K30="","",IF(K30=K29,"",K30))</f>
        <v/>
      </c>
      <c r="C30" s="5">
        <f>IF(L30="","",IF(L30=L29,"",L30))</f>
        <v/>
      </c>
      <c r="D30" s="6">
        <f>IF(L30="","", SUBSTITUTE(M30," Floor","") &amp; " " &amp; CHOOSE(MIN((ROW()-1)-IFERROR(INDEX(Floors!$L$2:$L$201, MATCH(ROW()-1-0.0001, Floors!$L$2:$L$201, 1)), 0), 4), "North", "South", "East", "West"))</f>
        <v/>
      </c>
      <c r="E30" s="12" t="n"/>
      <c r="F30" s="12" t="n"/>
      <c r="G30" s="12" t="n"/>
      <c r="H30" s="16" t="n"/>
      <c r="I30" s="16" t="n"/>
      <c r="J30" s="15">
        <f>IF(ROW()-1&gt;SUM(Floors!$E$2:$E$201), "", INDEX(Floors!$F$2:$F$201, IFERROR(MATCH(ROW()-1-0.0001, Floors!$L$2:$L$201, 1), 0)+1))</f>
        <v/>
      </c>
      <c r="K30" s="15">
        <f>IF(ROW()-1&gt;SUM(Floors!$E$2:$E$201), "", INDEX(Floors!$H$2:$H$201, IFERROR(MATCH(ROW()-1-0.0001, Floors!$L$2:$L$201, 1), 0)+1))</f>
        <v/>
      </c>
      <c r="L30" s="14">
        <f>IF(ROW()-1&gt;SUM(Floors!$E$2:$E$201), "", INDEX(Floors!$D$2:$D$201, IFERROR(MATCH(ROW()-1-0.0001, Floors!$L$2:$L$201, 1), 0)+1))</f>
        <v/>
      </c>
      <c r="M30" s="15">
        <f>IF(ROW()-1&gt;SUM(Floors!$E$2:$E$201), "", INDEX(Floors!$K$2:$K$201, IFERROR(MATCH(ROW()-1-0.0001, Floors!$L$2:$L$201, 1), 0)+1))</f>
        <v/>
      </c>
    </row>
    <row r="31">
      <c r="A31" s="6">
        <f>IF(J31="","",IF(J31=J30,"",J31))</f>
        <v/>
      </c>
      <c r="B31" s="6">
        <f>IF(K31="","",IF(K31=K30,"",K31))</f>
        <v/>
      </c>
      <c r="C31" s="5">
        <f>IF(L31="","",IF(L31=L30,"",L31))</f>
        <v/>
      </c>
      <c r="D31" s="6">
        <f>IF(L31="","", SUBSTITUTE(M31," Floor","") &amp; " " &amp; CHOOSE(MIN((ROW()-1)-IFERROR(INDEX(Floors!$L$2:$L$201, MATCH(ROW()-1-0.0001, Floors!$L$2:$L$201, 1)), 0), 4), "North", "South", "East", "West"))</f>
        <v/>
      </c>
      <c r="E31" s="12" t="n"/>
      <c r="F31" s="12" t="n"/>
      <c r="G31" s="12" t="n"/>
      <c r="H31" s="16" t="n"/>
      <c r="I31" s="16" t="n"/>
      <c r="J31" s="15">
        <f>IF(ROW()-1&gt;SUM(Floors!$E$2:$E$201), "", INDEX(Floors!$F$2:$F$201, IFERROR(MATCH(ROW()-1-0.0001, Floors!$L$2:$L$201, 1), 0)+1))</f>
        <v/>
      </c>
      <c r="K31" s="15">
        <f>IF(ROW()-1&gt;SUM(Floors!$E$2:$E$201), "", INDEX(Floors!$H$2:$H$201, IFERROR(MATCH(ROW()-1-0.0001, Floors!$L$2:$L$201, 1), 0)+1))</f>
        <v/>
      </c>
      <c r="L31" s="14">
        <f>IF(ROW()-1&gt;SUM(Floors!$E$2:$E$201), "", INDEX(Floors!$D$2:$D$201, IFERROR(MATCH(ROW()-1-0.0001, Floors!$L$2:$L$201, 1), 0)+1))</f>
        <v/>
      </c>
      <c r="M31" s="15">
        <f>IF(ROW()-1&gt;SUM(Floors!$E$2:$E$201), "", INDEX(Floors!$K$2:$K$201, IFERROR(MATCH(ROW()-1-0.0001, Floors!$L$2:$L$201, 1), 0)+1))</f>
        <v/>
      </c>
    </row>
    <row r="32">
      <c r="A32" s="6">
        <f>IF(J32="","",IF(J32=J31,"",J32))</f>
        <v/>
      </c>
      <c r="B32" s="6">
        <f>IF(K32="","",IF(K32=K31,"",K32))</f>
        <v/>
      </c>
      <c r="C32" s="5">
        <f>IF(L32="","",IF(L32=L31,"",L32))</f>
        <v/>
      </c>
      <c r="D32" s="6">
        <f>IF(L32="","", SUBSTITUTE(M32," Floor","") &amp; " " &amp; CHOOSE(MIN((ROW()-1)-IFERROR(INDEX(Floors!$L$2:$L$201, MATCH(ROW()-1-0.0001, Floors!$L$2:$L$201, 1)), 0), 4), "North", "South", "East", "West"))</f>
        <v/>
      </c>
      <c r="E32" s="12" t="n"/>
      <c r="F32" s="12" t="n"/>
      <c r="G32" s="12" t="n"/>
      <c r="H32" s="16" t="n"/>
      <c r="I32" s="16" t="n"/>
      <c r="J32" s="15">
        <f>IF(ROW()-1&gt;SUM(Floors!$E$2:$E$201), "", INDEX(Floors!$F$2:$F$201, IFERROR(MATCH(ROW()-1-0.0001, Floors!$L$2:$L$201, 1), 0)+1))</f>
        <v/>
      </c>
      <c r="K32" s="15">
        <f>IF(ROW()-1&gt;SUM(Floors!$E$2:$E$201), "", INDEX(Floors!$H$2:$H$201, IFERROR(MATCH(ROW()-1-0.0001, Floors!$L$2:$L$201, 1), 0)+1))</f>
        <v/>
      </c>
      <c r="L32" s="14">
        <f>IF(ROW()-1&gt;SUM(Floors!$E$2:$E$201), "", INDEX(Floors!$D$2:$D$201, IFERROR(MATCH(ROW()-1-0.0001, Floors!$L$2:$L$201, 1), 0)+1))</f>
        <v/>
      </c>
      <c r="M32" s="15">
        <f>IF(ROW()-1&gt;SUM(Floors!$E$2:$E$201), "", INDEX(Floors!$K$2:$K$201, IFERROR(MATCH(ROW()-1-0.0001, Floors!$L$2:$L$201, 1), 0)+1))</f>
        <v/>
      </c>
    </row>
    <row r="33">
      <c r="A33" s="6">
        <f>IF(J33="","",IF(J33=J32,"",J33))</f>
        <v/>
      </c>
      <c r="B33" s="6">
        <f>IF(K33="","",IF(K33=K32,"",K33))</f>
        <v/>
      </c>
      <c r="C33" s="5">
        <f>IF(L33="","",IF(L33=L32,"",L33))</f>
        <v/>
      </c>
      <c r="D33" s="6">
        <f>IF(L33="","", SUBSTITUTE(M33," Floor","") &amp; " " &amp; CHOOSE(MIN((ROW()-1)-IFERROR(INDEX(Floors!$L$2:$L$201, MATCH(ROW()-1-0.0001, Floors!$L$2:$L$201, 1)), 0), 4), "North", "South", "East", "West"))</f>
        <v/>
      </c>
      <c r="E33" s="12" t="n"/>
      <c r="F33" s="12" t="n"/>
      <c r="G33" s="12" t="n"/>
      <c r="H33" s="16" t="n"/>
      <c r="I33" s="16" t="n"/>
      <c r="J33" s="15">
        <f>IF(ROW()-1&gt;SUM(Floors!$E$2:$E$201), "", INDEX(Floors!$F$2:$F$201, IFERROR(MATCH(ROW()-1-0.0001, Floors!$L$2:$L$201, 1), 0)+1))</f>
        <v/>
      </c>
      <c r="K33" s="15">
        <f>IF(ROW()-1&gt;SUM(Floors!$E$2:$E$201), "", INDEX(Floors!$H$2:$H$201, IFERROR(MATCH(ROW()-1-0.0001, Floors!$L$2:$L$201, 1), 0)+1))</f>
        <v/>
      </c>
      <c r="L33" s="14">
        <f>IF(ROW()-1&gt;SUM(Floors!$E$2:$E$201), "", INDEX(Floors!$D$2:$D$201, IFERROR(MATCH(ROW()-1-0.0001, Floors!$L$2:$L$201, 1), 0)+1))</f>
        <v/>
      </c>
      <c r="M33" s="15">
        <f>IF(ROW()-1&gt;SUM(Floors!$E$2:$E$201), "", INDEX(Floors!$K$2:$K$201, IFERROR(MATCH(ROW()-1-0.0001, Floors!$L$2:$L$201, 1), 0)+1))</f>
        <v/>
      </c>
    </row>
    <row r="34">
      <c r="A34" s="6">
        <f>IF(J34="","",IF(J34=J33,"",J34))</f>
        <v/>
      </c>
      <c r="B34" s="6">
        <f>IF(K34="","",IF(K34=K33,"",K34))</f>
        <v/>
      </c>
      <c r="C34" s="5">
        <f>IF(L34="","",IF(L34=L33,"",L34))</f>
        <v/>
      </c>
      <c r="D34" s="6">
        <f>IF(L34="","", SUBSTITUTE(M34," Floor","") &amp; " " &amp; CHOOSE(MIN((ROW()-1)-IFERROR(INDEX(Floors!$L$2:$L$201, MATCH(ROW()-1-0.0001, Floors!$L$2:$L$201, 1)), 0), 4), "North", "South", "East", "West"))</f>
        <v/>
      </c>
      <c r="E34" s="12" t="n"/>
      <c r="F34" s="12" t="n"/>
      <c r="G34" s="12" t="n"/>
      <c r="H34" s="16" t="n"/>
      <c r="I34" s="16" t="n"/>
      <c r="J34" s="15">
        <f>IF(ROW()-1&gt;SUM(Floors!$E$2:$E$201), "", INDEX(Floors!$F$2:$F$201, IFERROR(MATCH(ROW()-1-0.0001, Floors!$L$2:$L$201, 1), 0)+1))</f>
        <v/>
      </c>
      <c r="K34" s="15">
        <f>IF(ROW()-1&gt;SUM(Floors!$E$2:$E$201), "", INDEX(Floors!$H$2:$H$201, IFERROR(MATCH(ROW()-1-0.0001, Floors!$L$2:$L$201, 1), 0)+1))</f>
        <v/>
      </c>
      <c r="L34" s="14">
        <f>IF(ROW()-1&gt;SUM(Floors!$E$2:$E$201), "", INDEX(Floors!$D$2:$D$201, IFERROR(MATCH(ROW()-1-0.0001, Floors!$L$2:$L$201, 1), 0)+1))</f>
        <v/>
      </c>
      <c r="M34" s="15">
        <f>IF(ROW()-1&gt;SUM(Floors!$E$2:$E$201), "", INDEX(Floors!$K$2:$K$201, IFERROR(MATCH(ROW()-1-0.0001, Floors!$L$2:$L$201, 1), 0)+1))</f>
        <v/>
      </c>
    </row>
    <row r="35">
      <c r="A35" s="6">
        <f>IF(J35="","",IF(J35=J34,"",J35))</f>
        <v/>
      </c>
      <c r="B35" s="6">
        <f>IF(K35="","",IF(K35=K34,"",K35))</f>
        <v/>
      </c>
      <c r="C35" s="5">
        <f>IF(L35="","",IF(L35=L34,"",L35))</f>
        <v/>
      </c>
      <c r="D35" s="6">
        <f>IF(L35="","", SUBSTITUTE(M35," Floor","") &amp; " " &amp; CHOOSE(MIN((ROW()-1)-IFERROR(INDEX(Floors!$L$2:$L$201, MATCH(ROW()-1-0.0001, Floors!$L$2:$L$201, 1)), 0), 4), "North", "South", "East", "West"))</f>
        <v/>
      </c>
      <c r="E35" s="12" t="n"/>
      <c r="F35" s="12" t="n"/>
      <c r="G35" s="12" t="n"/>
      <c r="H35" s="16" t="n"/>
      <c r="I35" s="16" t="n"/>
      <c r="J35" s="15">
        <f>IF(ROW()-1&gt;SUM(Floors!$E$2:$E$201), "", INDEX(Floors!$F$2:$F$201, IFERROR(MATCH(ROW()-1-0.0001, Floors!$L$2:$L$201, 1), 0)+1))</f>
        <v/>
      </c>
      <c r="K35" s="15">
        <f>IF(ROW()-1&gt;SUM(Floors!$E$2:$E$201), "", INDEX(Floors!$H$2:$H$201, IFERROR(MATCH(ROW()-1-0.0001, Floors!$L$2:$L$201, 1), 0)+1))</f>
        <v/>
      </c>
      <c r="L35" s="14">
        <f>IF(ROW()-1&gt;SUM(Floors!$E$2:$E$201), "", INDEX(Floors!$D$2:$D$201, IFERROR(MATCH(ROW()-1-0.0001, Floors!$L$2:$L$201, 1), 0)+1))</f>
        <v/>
      </c>
      <c r="M35" s="15">
        <f>IF(ROW()-1&gt;SUM(Floors!$E$2:$E$201), "", INDEX(Floors!$K$2:$K$201, IFERROR(MATCH(ROW()-1-0.0001, Floors!$L$2:$L$201, 1), 0)+1))</f>
        <v/>
      </c>
    </row>
    <row r="36">
      <c r="A36" s="6">
        <f>IF(J36="","",IF(J36=J35,"",J36))</f>
        <v/>
      </c>
      <c r="B36" s="6">
        <f>IF(K36="","",IF(K36=K35,"",K36))</f>
        <v/>
      </c>
      <c r="C36" s="5">
        <f>IF(L36="","",IF(L36=L35,"",L36))</f>
        <v/>
      </c>
      <c r="D36" s="6">
        <f>IF(L36="","", SUBSTITUTE(M36," Floor","") &amp; " " &amp; CHOOSE(MIN((ROW()-1)-IFERROR(INDEX(Floors!$L$2:$L$201, MATCH(ROW()-1-0.0001, Floors!$L$2:$L$201, 1)), 0), 4), "North", "South", "East", "West"))</f>
        <v/>
      </c>
      <c r="E36" s="12" t="n"/>
      <c r="F36" s="12" t="n"/>
      <c r="G36" s="12" t="n"/>
      <c r="H36" s="16" t="n"/>
      <c r="I36" s="16" t="n"/>
      <c r="J36" s="15">
        <f>IF(ROW()-1&gt;SUM(Floors!$E$2:$E$201), "", INDEX(Floors!$F$2:$F$201, IFERROR(MATCH(ROW()-1-0.0001, Floors!$L$2:$L$201, 1), 0)+1))</f>
        <v/>
      </c>
      <c r="K36" s="15">
        <f>IF(ROW()-1&gt;SUM(Floors!$E$2:$E$201), "", INDEX(Floors!$H$2:$H$201, IFERROR(MATCH(ROW()-1-0.0001, Floors!$L$2:$L$201, 1), 0)+1))</f>
        <v/>
      </c>
      <c r="L36" s="14">
        <f>IF(ROW()-1&gt;SUM(Floors!$E$2:$E$201), "", INDEX(Floors!$D$2:$D$201, IFERROR(MATCH(ROW()-1-0.0001, Floors!$L$2:$L$201, 1), 0)+1))</f>
        <v/>
      </c>
      <c r="M36" s="15">
        <f>IF(ROW()-1&gt;SUM(Floors!$E$2:$E$201), "", INDEX(Floors!$K$2:$K$201, IFERROR(MATCH(ROW()-1-0.0001, Floors!$L$2:$L$201, 1), 0)+1))</f>
        <v/>
      </c>
    </row>
    <row r="37">
      <c r="A37" s="6">
        <f>IF(J37="","",IF(J37=J36,"",J37))</f>
        <v/>
      </c>
      <c r="B37" s="6">
        <f>IF(K37="","",IF(K37=K36,"",K37))</f>
        <v/>
      </c>
      <c r="C37" s="5">
        <f>IF(L37="","",IF(L37=L36,"",L37))</f>
        <v/>
      </c>
      <c r="D37" s="6">
        <f>IF(L37="","", SUBSTITUTE(M37," Floor","") &amp; " " &amp; CHOOSE(MIN((ROW()-1)-IFERROR(INDEX(Floors!$L$2:$L$201, MATCH(ROW()-1-0.0001, Floors!$L$2:$L$201, 1)), 0), 4), "North", "South", "East", "West"))</f>
        <v/>
      </c>
      <c r="E37" s="12" t="n"/>
      <c r="F37" s="12" t="n"/>
      <c r="G37" s="12" t="n"/>
      <c r="H37" s="16" t="n"/>
      <c r="I37" s="16" t="n"/>
      <c r="J37" s="15">
        <f>IF(ROW()-1&gt;SUM(Floors!$E$2:$E$201), "", INDEX(Floors!$F$2:$F$201, IFERROR(MATCH(ROW()-1-0.0001, Floors!$L$2:$L$201, 1), 0)+1))</f>
        <v/>
      </c>
      <c r="K37" s="15">
        <f>IF(ROW()-1&gt;SUM(Floors!$E$2:$E$201), "", INDEX(Floors!$H$2:$H$201, IFERROR(MATCH(ROW()-1-0.0001, Floors!$L$2:$L$201, 1), 0)+1))</f>
        <v/>
      </c>
      <c r="L37" s="14">
        <f>IF(ROW()-1&gt;SUM(Floors!$E$2:$E$201), "", INDEX(Floors!$D$2:$D$201, IFERROR(MATCH(ROW()-1-0.0001, Floors!$L$2:$L$201, 1), 0)+1))</f>
        <v/>
      </c>
      <c r="M37" s="15">
        <f>IF(ROW()-1&gt;SUM(Floors!$E$2:$E$201), "", INDEX(Floors!$K$2:$K$201, IFERROR(MATCH(ROW()-1-0.0001, Floors!$L$2:$L$201, 1), 0)+1))</f>
        <v/>
      </c>
    </row>
    <row r="38">
      <c r="A38" s="6">
        <f>IF(J38="","",IF(J38=J37,"",J38))</f>
        <v/>
      </c>
      <c r="B38" s="6">
        <f>IF(K38="","",IF(K38=K37,"",K38))</f>
        <v/>
      </c>
      <c r="C38" s="5">
        <f>IF(L38="","",IF(L38=L37,"",L38))</f>
        <v/>
      </c>
      <c r="D38" s="6">
        <f>IF(L38="","", SUBSTITUTE(M38," Floor","") &amp; " " &amp; CHOOSE(MIN((ROW()-1)-IFERROR(INDEX(Floors!$L$2:$L$201, MATCH(ROW()-1-0.0001, Floors!$L$2:$L$201, 1)), 0), 4), "North", "South", "East", "West"))</f>
        <v/>
      </c>
      <c r="E38" s="12" t="n"/>
      <c r="F38" s="12" t="n"/>
      <c r="G38" s="12" t="n"/>
      <c r="H38" s="16" t="n"/>
      <c r="I38" s="16" t="n"/>
      <c r="J38" s="15">
        <f>IF(ROW()-1&gt;SUM(Floors!$E$2:$E$201), "", INDEX(Floors!$F$2:$F$201, IFERROR(MATCH(ROW()-1-0.0001, Floors!$L$2:$L$201, 1), 0)+1))</f>
        <v/>
      </c>
      <c r="K38" s="15">
        <f>IF(ROW()-1&gt;SUM(Floors!$E$2:$E$201), "", INDEX(Floors!$H$2:$H$201, IFERROR(MATCH(ROW()-1-0.0001, Floors!$L$2:$L$201, 1), 0)+1))</f>
        <v/>
      </c>
      <c r="L38" s="14">
        <f>IF(ROW()-1&gt;SUM(Floors!$E$2:$E$201), "", INDEX(Floors!$D$2:$D$201, IFERROR(MATCH(ROW()-1-0.0001, Floors!$L$2:$L$201, 1), 0)+1))</f>
        <v/>
      </c>
      <c r="M38" s="15">
        <f>IF(ROW()-1&gt;SUM(Floors!$E$2:$E$201), "", INDEX(Floors!$K$2:$K$201, IFERROR(MATCH(ROW()-1-0.0001, Floors!$L$2:$L$201, 1), 0)+1))</f>
        <v/>
      </c>
    </row>
    <row r="39">
      <c r="A39" s="6">
        <f>IF(J39="","",IF(J39=J38,"",J39))</f>
        <v/>
      </c>
      <c r="B39" s="6">
        <f>IF(K39="","",IF(K39=K38,"",K39))</f>
        <v/>
      </c>
      <c r="C39" s="5">
        <f>IF(L39="","",IF(L39=L38,"",L39))</f>
        <v/>
      </c>
      <c r="D39" s="6">
        <f>IF(L39="","", SUBSTITUTE(M39," Floor","") &amp; " " &amp; CHOOSE(MIN((ROW()-1)-IFERROR(INDEX(Floors!$L$2:$L$201, MATCH(ROW()-1-0.0001, Floors!$L$2:$L$201, 1)), 0), 4), "North", "South", "East", "West"))</f>
        <v/>
      </c>
      <c r="E39" s="12" t="n"/>
      <c r="F39" s="12" t="n"/>
      <c r="G39" s="12" t="n"/>
      <c r="H39" s="16" t="n"/>
      <c r="I39" s="16" t="n"/>
      <c r="J39" s="15">
        <f>IF(ROW()-1&gt;SUM(Floors!$E$2:$E$201), "", INDEX(Floors!$F$2:$F$201, IFERROR(MATCH(ROW()-1-0.0001, Floors!$L$2:$L$201, 1), 0)+1))</f>
        <v/>
      </c>
      <c r="K39" s="15">
        <f>IF(ROW()-1&gt;SUM(Floors!$E$2:$E$201), "", INDEX(Floors!$H$2:$H$201, IFERROR(MATCH(ROW()-1-0.0001, Floors!$L$2:$L$201, 1), 0)+1))</f>
        <v/>
      </c>
      <c r="L39" s="14">
        <f>IF(ROW()-1&gt;SUM(Floors!$E$2:$E$201), "", INDEX(Floors!$D$2:$D$201, IFERROR(MATCH(ROW()-1-0.0001, Floors!$L$2:$L$201, 1), 0)+1))</f>
        <v/>
      </c>
      <c r="M39" s="15">
        <f>IF(ROW()-1&gt;SUM(Floors!$E$2:$E$201), "", INDEX(Floors!$K$2:$K$201, IFERROR(MATCH(ROW()-1-0.0001, Floors!$L$2:$L$201, 1), 0)+1))</f>
        <v/>
      </c>
    </row>
    <row r="40">
      <c r="A40" s="6">
        <f>IF(J40="","",IF(J40=J39,"",J40))</f>
        <v/>
      </c>
      <c r="B40" s="6">
        <f>IF(K40="","",IF(K40=K39,"",K40))</f>
        <v/>
      </c>
      <c r="C40" s="5">
        <f>IF(L40="","",IF(L40=L39,"",L40))</f>
        <v/>
      </c>
      <c r="D40" s="6">
        <f>IF(L40="","", SUBSTITUTE(M40," Floor","") &amp; " " &amp; CHOOSE(MIN((ROW()-1)-IFERROR(INDEX(Floors!$L$2:$L$201, MATCH(ROW()-1-0.0001, Floors!$L$2:$L$201, 1)), 0), 4), "North", "South", "East", "West"))</f>
        <v/>
      </c>
      <c r="E40" s="12" t="n"/>
      <c r="F40" s="12" t="n"/>
      <c r="G40" s="12" t="n"/>
      <c r="H40" s="16" t="n"/>
      <c r="I40" s="16" t="n"/>
      <c r="J40" s="15">
        <f>IF(ROW()-1&gt;SUM(Floors!$E$2:$E$201), "", INDEX(Floors!$F$2:$F$201, IFERROR(MATCH(ROW()-1-0.0001, Floors!$L$2:$L$201, 1), 0)+1))</f>
        <v/>
      </c>
      <c r="K40" s="15">
        <f>IF(ROW()-1&gt;SUM(Floors!$E$2:$E$201), "", INDEX(Floors!$H$2:$H$201, IFERROR(MATCH(ROW()-1-0.0001, Floors!$L$2:$L$201, 1), 0)+1))</f>
        <v/>
      </c>
      <c r="L40" s="14">
        <f>IF(ROW()-1&gt;SUM(Floors!$E$2:$E$201), "", INDEX(Floors!$D$2:$D$201, IFERROR(MATCH(ROW()-1-0.0001, Floors!$L$2:$L$201, 1), 0)+1))</f>
        <v/>
      </c>
      <c r="M40" s="15">
        <f>IF(ROW()-1&gt;SUM(Floors!$E$2:$E$201), "", INDEX(Floors!$K$2:$K$201, IFERROR(MATCH(ROW()-1-0.0001, Floors!$L$2:$L$201, 1), 0)+1))</f>
        <v/>
      </c>
    </row>
    <row r="41">
      <c r="A41" s="6">
        <f>IF(J41="","",IF(J41=J40,"",J41))</f>
        <v/>
      </c>
      <c r="B41" s="6">
        <f>IF(K41="","",IF(K41=K40,"",K41))</f>
        <v/>
      </c>
      <c r="C41" s="5">
        <f>IF(L41="","",IF(L41=L40,"",L41))</f>
        <v/>
      </c>
      <c r="D41" s="6">
        <f>IF(L41="","", SUBSTITUTE(M41," Floor","") &amp; " " &amp; CHOOSE(MIN((ROW()-1)-IFERROR(INDEX(Floors!$L$2:$L$201, MATCH(ROW()-1-0.0001, Floors!$L$2:$L$201, 1)), 0), 4), "North", "South", "East", "West"))</f>
        <v/>
      </c>
      <c r="E41" s="12" t="n"/>
      <c r="F41" s="12" t="n"/>
      <c r="G41" s="12" t="n"/>
      <c r="H41" s="16" t="n"/>
      <c r="I41" s="16" t="n"/>
      <c r="J41" s="15">
        <f>IF(ROW()-1&gt;SUM(Floors!$E$2:$E$201), "", INDEX(Floors!$F$2:$F$201, IFERROR(MATCH(ROW()-1-0.0001, Floors!$L$2:$L$201, 1), 0)+1))</f>
        <v/>
      </c>
      <c r="K41" s="15">
        <f>IF(ROW()-1&gt;SUM(Floors!$E$2:$E$201), "", INDEX(Floors!$H$2:$H$201, IFERROR(MATCH(ROW()-1-0.0001, Floors!$L$2:$L$201, 1), 0)+1))</f>
        <v/>
      </c>
      <c r="L41" s="14">
        <f>IF(ROW()-1&gt;SUM(Floors!$E$2:$E$201), "", INDEX(Floors!$D$2:$D$201, IFERROR(MATCH(ROW()-1-0.0001, Floors!$L$2:$L$201, 1), 0)+1))</f>
        <v/>
      </c>
      <c r="M41" s="15">
        <f>IF(ROW()-1&gt;SUM(Floors!$E$2:$E$201), "", INDEX(Floors!$K$2:$K$201, IFERROR(MATCH(ROW()-1-0.0001, Floors!$L$2:$L$201, 1), 0)+1))</f>
        <v/>
      </c>
    </row>
    <row r="42">
      <c r="A42" s="6">
        <f>IF(J42="","",IF(J42=J41,"",J42))</f>
        <v/>
      </c>
      <c r="B42" s="6">
        <f>IF(K42="","",IF(K42=K41,"",K42))</f>
        <v/>
      </c>
      <c r="C42" s="5">
        <f>IF(L42="","",IF(L42=L41,"",L42))</f>
        <v/>
      </c>
      <c r="D42" s="6">
        <f>IF(L42="","", SUBSTITUTE(M42," Floor","") &amp; " " &amp; CHOOSE(MIN((ROW()-1)-IFERROR(INDEX(Floors!$L$2:$L$201, MATCH(ROW()-1-0.0001, Floors!$L$2:$L$201, 1)), 0), 4), "North", "South", "East", "West"))</f>
        <v/>
      </c>
      <c r="E42" s="12" t="n"/>
      <c r="F42" s="12" t="n"/>
      <c r="G42" s="12" t="n"/>
      <c r="H42" s="16" t="n"/>
      <c r="I42" s="16" t="n"/>
      <c r="J42" s="15">
        <f>IF(ROW()-1&gt;SUM(Floors!$E$2:$E$201), "", INDEX(Floors!$F$2:$F$201, IFERROR(MATCH(ROW()-1-0.0001, Floors!$L$2:$L$201, 1), 0)+1))</f>
        <v/>
      </c>
      <c r="K42" s="15">
        <f>IF(ROW()-1&gt;SUM(Floors!$E$2:$E$201), "", INDEX(Floors!$H$2:$H$201, IFERROR(MATCH(ROW()-1-0.0001, Floors!$L$2:$L$201, 1), 0)+1))</f>
        <v/>
      </c>
      <c r="L42" s="14">
        <f>IF(ROW()-1&gt;SUM(Floors!$E$2:$E$201), "", INDEX(Floors!$D$2:$D$201, IFERROR(MATCH(ROW()-1-0.0001, Floors!$L$2:$L$201, 1), 0)+1))</f>
        <v/>
      </c>
      <c r="M42" s="15">
        <f>IF(ROW()-1&gt;SUM(Floors!$E$2:$E$201), "", INDEX(Floors!$K$2:$K$201, IFERROR(MATCH(ROW()-1-0.0001, Floors!$L$2:$L$201, 1), 0)+1))</f>
        <v/>
      </c>
    </row>
    <row r="43">
      <c r="A43" s="6">
        <f>IF(J43="","",IF(J43=J42,"",J43))</f>
        <v/>
      </c>
      <c r="B43" s="6">
        <f>IF(K43="","",IF(K43=K42,"",K43))</f>
        <v/>
      </c>
      <c r="C43" s="5">
        <f>IF(L43="","",IF(L43=L42,"",L43))</f>
        <v/>
      </c>
      <c r="D43" s="6">
        <f>IF(L43="","", SUBSTITUTE(M43," Floor","") &amp; " " &amp; CHOOSE(MIN((ROW()-1)-IFERROR(INDEX(Floors!$L$2:$L$201, MATCH(ROW()-1-0.0001, Floors!$L$2:$L$201, 1)), 0), 4), "North", "South", "East", "West"))</f>
        <v/>
      </c>
      <c r="E43" s="12" t="n"/>
      <c r="F43" s="12" t="n"/>
      <c r="G43" s="12" t="n"/>
      <c r="H43" s="16" t="n"/>
      <c r="I43" s="16" t="n"/>
      <c r="J43" s="15">
        <f>IF(ROW()-1&gt;SUM(Floors!$E$2:$E$201), "", INDEX(Floors!$F$2:$F$201, IFERROR(MATCH(ROW()-1-0.0001, Floors!$L$2:$L$201, 1), 0)+1))</f>
        <v/>
      </c>
      <c r="K43" s="15">
        <f>IF(ROW()-1&gt;SUM(Floors!$E$2:$E$201), "", INDEX(Floors!$H$2:$H$201, IFERROR(MATCH(ROW()-1-0.0001, Floors!$L$2:$L$201, 1), 0)+1))</f>
        <v/>
      </c>
      <c r="L43" s="14">
        <f>IF(ROW()-1&gt;SUM(Floors!$E$2:$E$201), "", INDEX(Floors!$D$2:$D$201, IFERROR(MATCH(ROW()-1-0.0001, Floors!$L$2:$L$201, 1), 0)+1))</f>
        <v/>
      </c>
      <c r="M43" s="15">
        <f>IF(ROW()-1&gt;SUM(Floors!$E$2:$E$201), "", INDEX(Floors!$K$2:$K$201, IFERROR(MATCH(ROW()-1-0.0001, Floors!$L$2:$L$201, 1), 0)+1))</f>
        <v/>
      </c>
    </row>
    <row r="44">
      <c r="A44" s="6">
        <f>IF(J44="","",IF(J44=J43,"",J44))</f>
        <v/>
      </c>
      <c r="B44" s="6">
        <f>IF(K44="","",IF(K44=K43,"",K44))</f>
        <v/>
      </c>
      <c r="C44" s="5">
        <f>IF(L44="","",IF(L44=L43,"",L44))</f>
        <v/>
      </c>
      <c r="D44" s="6">
        <f>IF(L44="","", SUBSTITUTE(M44," Floor","") &amp; " " &amp; CHOOSE(MIN((ROW()-1)-IFERROR(INDEX(Floors!$L$2:$L$201, MATCH(ROW()-1-0.0001, Floors!$L$2:$L$201, 1)), 0), 4), "North", "South", "East", "West"))</f>
        <v/>
      </c>
      <c r="E44" s="12" t="n"/>
      <c r="F44" s="12" t="n"/>
      <c r="G44" s="12" t="n"/>
      <c r="H44" s="16" t="n"/>
      <c r="I44" s="16" t="n"/>
      <c r="J44" s="15">
        <f>IF(ROW()-1&gt;SUM(Floors!$E$2:$E$201), "", INDEX(Floors!$F$2:$F$201, IFERROR(MATCH(ROW()-1-0.0001, Floors!$L$2:$L$201, 1), 0)+1))</f>
        <v/>
      </c>
      <c r="K44" s="15">
        <f>IF(ROW()-1&gt;SUM(Floors!$E$2:$E$201), "", INDEX(Floors!$H$2:$H$201, IFERROR(MATCH(ROW()-1-0.0001, Floors!$L$2:$L$201, 1), 0)+1))</f>
        <v/>
      </c>
      <c r="L44" s="14">
        <f>IF(ROW()-1&gt;SUM(Floors!$E$2:$E$201), "", INDEX(Floors!$D$2:$D$201, IFERROR(MATCH(ROW()-1-0.0001, Floors!$L$2:$L$201, 1), 0)+1))</f>
        <v/>
      </c>
      <c r="M44" s="15">
        <f>IF(ROW()-1&gt;SUM(Floors!$E$2:$E$201), "", INDEX(Floors!$K$2:$K$201, IFERROR(MATCH(ROW()-1-0.0001, Floors!$L$2:$L$201, 1), 0)+1))</f>
        <v/>
      </c>
    </row>
    <row r="45">
      <c r="A45" s="6">
        <f>IF(J45="","",IF(J45=J44,"",J45))</f>
        <v/>
      </c>
      <c r="B45" s="6">
        <f>IF(K45="","",IF(K45=K44,"",K45))</f>
        <v/>
      </c>
      <c r="C45" s="5">
        <f>IF(L45="","",IF(L45=L44,"",L45))</f>
        <v/>
      </c>
      <c r="D45" s="6">
        <f>IF(L45="","", SUBSTITUTE(M45," Floor","") &amp; " " &amp; CHOOSE(MIN((ROW()-1)-IFERROR(INDEX(Floors!$L$2:$L$201, MATCH(ROW()-1-0.0001, Floors!$L$2:$L$201, 1)), 0), 4), "North", "South", "East", "West"))</f>
        <v/>
      </c>
      <c r="E45" s="12" t="n"/>
      <c r="F45" s="12" t="n"/>
      <c r="G45" s="12" t="n"/>
      <c r="H45" s="16" t="n"/>
      <c r="I45" s="16" t="n"/>
      <c r="J45" s="15">
        <f>IF(ROW()-1&gt;SUM(Floors!$E$2:$E$201), "", INDEX(Floors!$F$2:$F$201, IFERROR(MATCH(ROW()-1-0.0001, Floors!$L$2:$L$201, 1), 0)+1))</f>
        <v/>
      </c>
      <c r="K45" s="15">
        <f>IF(ROW()-1&gt;SUM(Floors!$E$2:$E$201), "", INDEX(Floors!$H$2:$H$201, IFERROR(MATCH(ROW()-1-0.0001, Floors!$L$2:$L$201, 1), 0)+1))</f>
        <v/>
      </c>
      <c r="L45" s="14">
        <f>IF(ROW()-1&gt;SUM(Floors!$E$2:$E$201), "", INDEX(Floors!$D$2:$D$201, IFERROR(MATCH(ROW()-1-0.0001, Floors!$L$2:$L$201, 1), 0)+1))</f>
        <v/>
      </c>
      <c r="M45" s="15">
        <f>IF(ROW()-1&gt;SUM(Floors!$E$2:$E$201), "", INDEX(Floors!$K$2:$K$201, IFERROR(MATCH(ROW()-1-0.0001, Floors!$L$2:$L$201, 1), 0)+1))</f>
        <v/>
      </c>
    </row>
    <row r="46">
      <c r="A46" s="6">
        <f>IF(J46="","",IF(J46=J45,"",J46))</f>
        <v/>
      </c>
      <c r="B46" s="6">
        <f>IF(K46="","",IF(K46=K45,"",K46))</f>
        <v/>
      </c>
      <c r="C46" s="5">
        <f>IF(L46="","",IF(L46=L45,"",L46))</f>
        <v/>
      </c>
      <c r="D46" s="6">
        <f>IF(L46="","", SUBSTITUTE(M46," Floor","") &amp; " " &amp; CHOOSE(MIN((ROW()-1)-IFERROR(INDEX(Floors!$L$2:$L$201, MATCH(ROW()-1-0.0001, Floors!$L$2:$L$201, 1)), 0), 4), "North", "South", "East", "West"))</f>
        <v/>
      </c>
      <c r="E46" s="12" t="n"/>
      <c r="F46" s="12" t="n"/>
      <c r="G46" s="12" t="n"/>
      <c r="H46" s="16" t="n"/>
      <c r="I46" s="16" t="n"/>
      <c r="J46" s="15">
        <f>IF(ROW()-1&gt;SUM(Floors!$E$2:$E$201), "", INDEX(Floors!$F$2:$F$201, IFERROR(MATCH(ROW()-1-0.0001, Floors!$L$2:$L$201, 1), 0)+1))</f>
        <v/>
      </c>
      <c r="K46" s="15">
        <f>IF(ROW()-1&gt;SUM(Floors!$E$2:$E$201), "", INDEX(Floors!$H$2:$H$201, IFERROR(MATCH(ROW()-1-0.0001, Floors!$L$2:$L$201, 1), 0)+1))</f>
        <v/>
      </c>
      <c r="L46" s="14">
        <f>IF(ROW()-1&gt;SUM(Floors!$E$2:$E$201), "", INDEX(Floors!$D$2:$D$201, IFERROR(MATCH(ROW()-1-0.0001, Floors!$L$2:$L$201, 1), 0)+1))</f>
        <v/>
      </c>
      <c r="M46" s="15">
        <f>IF(ROW()-1&gt;SUM(Floors!$E$2:$E$201), "", INDEX(Floors!$K$2:$K$201, IFERROR(MATCH(ROW()-1-0.0001, Floors!$L$2:$L$201, 1), 0)+1))</f>
        <v/>
      </c>
    </row>
    <row r="47">
      <c r="A47" s="6">
        <f>IF(J47="","",IF(J47=J46,"",J47))</f>
        <v/>
      </c>
      <c r="B47" s="6">
        <f>IF(K47="","",IF(K47=K46,"",K47))</f>
        <v/>
      </c>
      <c r="C47" s="5">
        <f>IF(L47="","",IF(L47=L46,"",L47))</f>
        <v/>
      </c>
      <c r="D47" s="6">
        <f>IF(L47="","", SUBSTITUTE(M47," Floor","") &amp; " " &amp; CHOOSE(MIN((ROW()-1)-IFERROR(INDEX(Floors!$L$2:$L$201, MATCH(ROW()-1-0.0001, Floors!$L$2:$L$201, 1)), 0), 4), "North", "South", "East", "West"))</f>
        <v/>
      </c>
      <c r="E47" s="12" t="n"/>
      <c r="F47" s="12" t="n"/>
      <c r="G47" s="12" t="n"/>
      <c r="H47" s="16" t="n"/>
      <c r="I47" s="16" t="n"/>
      <c r="J47" s="15">
        <f>IF(ROW()-1&gt;SUM(Floors!$E$2:$E$201), "", INDEX(Floors!$F$2:$F$201, IFERROR(MATCH(ROW()-1-0.0001, Floors!$L$2:$L$201, 1), 0)+1))</f>
        <v/>
      </c>
      <c r="K47" s="15">
        <f>IF(ROW()-1&gt;SUM(Floors!$E$2:$E$201), "", INDEX(Floors!$H$2:$H$201, IFERROR(MATCH(ROW()-1-0.0001, Floors!$L$2:$L$201, 1), 0)+1))</f>
        <v/>
      </c>
      <c r="L47" s="14">
        <f>IF(ROW()-1&gt;SUM(Floors!$E$2:$E$201), "", INDEX(Floors!$D$2:$D$201, IFERROR(MATCH(ROW()-1-0.0001, Floors!$L$2:$L$201, 1), 0)+1))</f>
        <v/>
      </c>
      <c r="M47" s="15">
        <f>IF(ROW()-1&gt;SUM(Floors!$E$2:$E$201), "", INDEX(Floors!$K$2:$K$201, IFERROR(MATCH(ROW()-1-0.0001, Floors!$L$2:$L$201, 1), 0)+1))</f>
        <v/>
      </c>
    </row>
    <row r="48">
      <c r="A48" s="6">
        <f>IF(J48="","",IF(J48=J47,"",J48))</f>
        <v/>
      </c>
      <c r="B48" s="6">
        <f>IF(K48="","",IF(K48=K47,"",K48))</f>
        <v/>
      </c>
      <c r="C48" s="5">
        <f>IF(L48="","",IF(L48=L47,"",L48))</f>
        <v/>
      </c>
      <c r="D48" s="6">
        <f>IF(L48="","", SUBSTITUTE(M48," Floor","") &amp; " " &amp; CHOOSE(MIN((ROW()-1)-IFERROR(INDEX(Floors!$L$2:$L$201, MATCH(ROW()-1-0.0001, Floors!$L$2:$L$201, 1)), 0), 4), "North", "South", "East", "West"))</f>
        <v/>
      </c>
      <c r="E48" s="12" t="n"/>
      <c r="F48" s="12" t="n"/>
      <c r="G48" s="12" t="n"/>
      <c r="H48" s="16" t="n"/>
      <c r="I48" s="16" t="n"/>
      <c r="J48" s="15">
        <f>IF(ROW()-1&gt;SUM(Floors!$E$2:$E$201), "", INDEX(Floors!$F$2:$F$201, IFERROR(MATCH(ROW()-1-0.0001, Floors!$L$2:$L$201, 1), 0)+1))</f>
        <v/>
      </c>
      <c r="K48" s="15">
        <f>IF(ROW()-1&gt;SUM(Floors!$E$2:$E$201), "", INDEX(Floors!$H$2:$H$201, IFERROR(MATCH(ROW()-1-0.0001, Floors!$L$2:$L$201, 1), 0)+1))</f>
        <v/>
      </c>
      <c r="L48" s="14">
        <f>IF(ROW()-1&gt;SUM(Floors!$E$2:$E$201), "", INDEX(Floors!$D$2:$D$201, IFERROR(MATCH(ROW()-1-0.0001, Floors!$L$2:$L$201, 1), 0)+1))</f>
        <v/>
      </c>
      <c r="M48" s="15">
        <f>IF(ROW()-1&gt;SUM(Floors!$E$2:$E$201), "", INDEX(Floors!$K$2:$K$201, IFERROR(MATCH(ROW()-1-0.0001, Floors!$L$2:$L$201, 1), 0)+1))</f>
        <v/>
      </c>
    </row>
    <row r="49">
      <c r="A49" s="6">
        <f>IF(J49="","",IF(J49=J48,"",J49))</f>
        <v/>
      </c>
      <c r="B49" s="6">
        <f>IF(K49="","",IF(K49=K48,"",K49))</f>
        <v/>
      </c>
      <c r="C49" s="5">
        <f>IF(L49="","",IF(L49=L48,"",L49))</f>
        <v/>
      </c>
      <c r="D49" s="6">
        <f>IF(L49="","", SUBSTITUTE(M49," Floor","") &amp; " " &amp; CHOOSE(MIN((ROW()-1)-IFERROR(INDEX(Floors!$L$2:$L$201, MATCH(ROW()-1-0.0001, Floors!$L$2:$L$201, 1)), 0), 4), "North", "South", "East", "West"))</f>
        <v/>
      </c>
      <c r="E49" s="12" t="n"/>
      <c r="F49" s="12" t="n"/>
      <c r="G49" s="12" t="n"/>
      <c r="H49" s="16" t="n"/>
      <c r="I49" s="16" t="n"/>
      <c r="J49" s="15">
        <f>IF(ROW()-1&gt;SUM(Floors!$E$2:$E$201), "", INDEX(Floors!$F$2:$F$201, IFERROR(MATCH(ROW()-1-0.0001, Floors!$L$2:$L$201, 1), 0)+1))</f>
        <v/>
      </c>
      <c r="K49" s="15">
        <f>IF(ROW()-1&gt;SUM(Floors!$E$2:$E$201), "", INDEX(Floors!$H$2:$H$201, IFERROR(MATCH(ROW()-1-0.0001, Floors!$L$2:$L$201, 1), 0)+1))</f>
        <v/>
      </c>
      <c r="L49" s="14">
        <f>IF(ROW()-1&gt;SUM(Floors!$E$2:$E$201), "", INDEX(Floors!$D$2:$D$201, IFERROR(MATCH(ROW()-1-0.0001, Floors!$L$2:$L$201, 1), 0)+1))</f>
        <v/>
      </c>
      <c r="M49" s="15">
        <f>IF(ROW()-1&gt;SUM(Floors!$E$2:$E$201), "", INDEX(Floors!$K$2:$K$201, IFERROR(MATCH(ROW()-1-0.0001, Floors!$L$2:$L$201, 1), 0)+1))</f>
        <v/>
      </c>
    </row>
    <row r="50">
      <c r="A50" s="6">
        <f>IF(J50="","",IF(J50=J49,"",J50))</f>
        <v/>
      </c>
      <c r="B50" s="6">
        <f>IF(K50="","",IF(K50=K49,"",K50))</f>
        <v/>
      </c>
      <c r="C50" s="5">
        <f>IF(L50="","",IF(L50=L49,"",L50))</f>
        <v/>
      </c>
      <c r="D50" s="6">
        <f>IF(L50="","", SUBSTITUTE(M50," Floor","") &amp; " " &amp; CHOOSE(MIN((ROW()-1)-IFERROR(INDEX(Floors!$L$2:$L$201, MATCH(ROW()-1-0.0001, Floors!$L$2:$L$201, 1)), 0), 4), "North", "South", "East", "West"))</f>
        <v/>
      </c>
      <c r="E50" s="12" t="n"/>
      <c r="F50" s="12" t="n"/>
      <c r="G50" s="12" t="n"/>
      <c r="H50" s="16" t="n"/>
      <c r="I50" s="16" t="n"/>
      <c r="J50" s="15">
        <f>IF(ROW()-1&gt;SUM(Floors!$E$2:$E$201), "", INDEX(Floors!$F$2:$F$201, IFERROR(MATCH(ROW()-1-0.0001, Floors!$L$2:$L$201, 1), 0)+1))</f>
        <v/>
      </c>
      <c r="K50" s="15">
        <f>IF(ROW()-1&gt;SUM(Floors!$E$2:$E$201), "", INDEX(Floors!$H$2:$H$201, IFERROR(MATCH(ROW()-1-0.0001, Floors!$L$2:$L$201, 1), 0)+1))</f>
        <v/>
      </c>
      <c r="L50" s="14">
        <f>IF(ROW()-1&gt;SUM(Floors!$E$2:$E$201), "", INDEX(Floors!$D$2:$D$201, IFERROR(MATCH(ROW()-1-0.0001, Floors!$L$2:$L$201, 1), 0)+1))</f>
        <v/>
      </c>
      <c r="M50" s="15">
        <f>IF(ROW()-1&gt;SUM(Floors!$E$2:$E$201), "", INDEX(Floors!$K$2:$K$201, IFERROR(MATCH(ROW()-1-0.0001, Floors!$L$2:$L$201, 1), 0)+1))</f>
        <v/>
      </c>
    </row>
    <row r="51">
      <c r="A51" s="6">
        <f>IF(J51="","",IF(J51=J50,"",J51))</f>
        <v/>
      </c>
      <c r="B51" s="6">
        <f>IF(K51="","",IF(K51=K50,"",K51))</f>
        <v/>
      </c>
      <c r="C51" s="5">
        <f>IF(L51="","",IF(L51=L50,"",L51))</f>
        <v/>
      </c>
      <c r="D51" s="6">
        <f>IF(L51="","", SUBSTITUTE(M51," Floor","") &amp; " " &amp; CHOOSE(MIN((ROW()-1)-IFERROR(INDEX(Floors!$L$2:$L$201, MATCH(ROW()-1-0.0001, Floors!$L$2:$L$201, 1)), 0), 4), "North", "South", "East", "West"))</f>
        <v/>
      </c>
      <c r="E51" s="12" t="n"/>
      <c r="F51" s="12" t="n"/>
      <c r="G51" s="12" t="n"/>
      <c r="H51" s="16" t="n"/>
      <c r="I51" s="16" t="n"/>
      <c r="J51" s="15">
        <f>IF(ROW()-1&gt;SUM(Floors!$E$2:$E$201), "", INDEX(Floors!$F$2:$F$201, IFERROR(MATCH(ROW()-1-0.0001, Floors!$L$2:$L$201, 1), 0)+1))</f>
        <v/>
      </c>
      <c r="K51" s="15">
        <f>IF(ROW()-1&gt;SUM(Floors!$E$2:$E$201), "", INDEX(Floors!$H$2:$H$201, IFERROR(MATCH(ROW()-1-0.0001, Floors!$L$2:$L$201, 1), 0)+1))</f>
        <v/>
      </c>
      <c r="L51" s="14">
        <f>IF(ROW()-1&gt;SUM(Floors!$E$2:$E$201), "", INDEX(Floors!$D$2:$D$201, IFERROR(MATCH(ROW()-1-0.0001, Floors!$L$2:$L$201, 1), 0)+1))</f>
        <v/>
      </c>
      <c r="M51" s="15">
        <f>IF(ROW()-1&gt;SUM(Floors!$E$2:$E$201), "", INDEX(Floors!$K$2:$K$201, IFERROR(MATCH(ROW()-1-0.0001, Floors!$L$2:$L$201, 1), 0)+1))</f>
        <v/>
      </c>
    </row>
    <row r="52">
      <c r="A52" s="6">
        <f>IF(J52="","",IF(J52=J51,"",J52))</f>
        <v/>
      </c>
      <c r="B52" s="6">
        <f>IF(K52="","",IF(K52=K51,"",K52))</f>
        <v/>
      </c>
      <c r="C52" s="5">
        <f>IF(L52="","",IF(L52=L51,"",L52))</f>
        <v/>
      </c>
      <c r="D52" s="6">
        <f>IF(L52="","", SUBSTITUTE(M52," Floor","") &amp; " " &amp; CHOOSE(MIN((ROW()-1)-IFERROR(INDEX(Floors!$L$2:$L$201, MATCH(ROW()-1-0.0001, Floors!$L$2:$L$201, 1)), 0), 4), "North", "South", "East", "West"))</f>
        <v/>
      </c>
      <c r="E52" s="12" t="n"/>
      <c r="F52" s="12" t="n"/>
      <c r="G52" s="12" t="n"/>
      <c r="H52" s="16" t="n"/>
      <c r="I52" s="16" t="n"/>
      <c r="J52" s="15">
        <f>IF(ROW()-1&gt;SUM(Floors!$E$2:$E$201), "", INDEX(Floors!$F$2:$F$201, IFERROR(MATCH(ROW()-1-0.0001, Floors!$L$2:$L$201, 1), 0)+1))</f>
        <v/>
      </c>
      <c r="K52" s="15">
        <f>IF(ROW()-1&gt;SUM(Floors!$E$2:$E$201), "", INDEX(Floors!$H$2:$H$201, IFERROR(MATCH(ROW()-1-0.0001, Floors!$L$2:$L$201, 1), 0)+1))</f>
        <v/>
      </c>
      <c r="L52" s="14">
        <f>IF(ROW()-1&gt;SUM(Floors!$E$2:$E$201), "", INDEX(Floors!$D$2:$D$201, IFERROR(MATCH(ROW()-1-0.0001, Floors!$L$2:$L$201, 1), 0)+1))</f>
        <v/>
      </c>
      <c r="M52" s="15">
        <f>IF(ROW()-1&gt;SUM(Floors!$E$2:$E$201), "", INDEX(Floors!$K$2:$K$201, IFERROR(MATCH(ROW()-1-0.0001, Floors!$L$2:$L$201, 1), 0)+1))</f>
        <v/>
      </c>
    </row>
    <row r="53">
      <c r="A53" s="6">
        <f>IF(J53="","",IF(J53=J52,"",J53))</f>
        <v/>
      </c>
      <c r="B53" s="6">
        <f>IF(K53="","",IF(K53=K52,"",K53))</f>
        <v/>
      </c>
      <c r="C53" s="5">
        <f>IF(L53="","",IF(L53=L52,"",L53))</f>
        <v/>
      </c>
      <c r="D53" s="6">
        <f>IF(L53="","", SUBSTITUTE(M53," Floor","") &amp; " " &amp; CHOOSE(MIN((ROW()-1)-IFERROR(INDEX(Floors!$L$2:$L$201, MATCH(ROW()-1-0.0001, Floors!$L$2:$L$201, 1)), 0), 4), "North", "South", "East", "West"))</f>
        <v/>
      </c>
      <c r="E53" s="12" t="n"/>
      <c r="F53" s="12" t="n"/>
      <c r="G53" s="12" t="n"/>
      <c r="H53" s="16" t="n"/>
      <c r="I53" s="16" t="n"/>
      <c r="J53" s="15">
        <f>IF(ROW()-1&gt;SUM(Floors!$E$2:$E$201), "", INDEX(Floors!$F$2:$F$201, IFERROR(MATCH(ROW()-1-0.0001, Floors!$L$2:$L$201, 1), 0)+1))</f>
        <v/>
      </c>
      <c r="K53" s="15">
        <f>IF(ROW()-1&gt;SUM(Floors!$E$2:$E$201), "", INDEX(Floors!$H$2:$H$201, IFERROR(MATCH(ROW()-1-0.0001, Floors!$L$2:$L$201, 1), 0)+1))</f>
        <v/>
      </c>
      <c r="L53" s="14">
        <f>IF(ROW()-1&gt;SUM(Floors!$E$2:$E$201), "", INDEX(Floors!$D$2:$D$201, IFERROR(MATCH(ROW()-1-0.0001, Floors!$L$2:$L$201, 1), 0)+1))</f>
        <v/>
      </c>
      <c r="M53" s="15">
        <f>IF(ROW()-1&gt;SUM(Floors!$E$2:$E$201), "", INDEX(Floors!$K$2:$K$201, IFERROR(MATCH(ROW()-1-0.0001, Floors!$L$2:$L$201, 1), 0)+1))</f>
        <v/>
      </c>
    </row>
    <row r="54">
      <c r="A54" s="6">
        <f>IF(J54="","",IF(J54=J53,"",J54))</f>
        <v/>
      </c>
      <c r="B54" s="6">
        <f>IF(K54="","",IF(K54=K53,"",K54))</f>
        <v/>
      </c>
      <c r="C54" s="5">
        <f>IF(L54="","",IF(L54=L53,"",L54))</f>
        <v/>
      </c>
      <c r="D54" s="6">
        <f>IF(L54="","", SUBSTITUTE(M54," Floor","") &amp; " " &amp; CHOOSE(MIN((ROW()-1)-IFERROR(INDEX(Floors!$L$2:$L$201, MATCH(ROW()-1-0.0001, Floors!$L$2:$L$201, 1)), 0), 4), "North", "South", "East", "West"))</f>
        <v/>
      </c>
      <c r="E54" s="12" t="n"/>
      <c r="F54" s="12" t="n"/>
      <c r="G54" s="12" t="n"/>
      <c r="H54" s="16" t="n"/>
      <c r="I54" s="16" t="n"/>
      <c r="J54" s="15">
        <f>IF(ROW()-1&gt;SUM(Floors!$E$2:$E$201), "", INDEX(Floors!$F$2:$F$201, IFERROR(MATCH(ROW()-1-0.0001, Floors!$L$2:$L$201, 1), 0)+1))</f>
        <v/>
      </c>
      <c r="K54" s="15">
        <f>IF(ROW()-1&gt;SUM(Floors!$E$2:$E$201), "", INDEX(Floors!$H$2:$H$201, IFERROR(MATCH(ROW()-1-0.0001, Floors!$L$2:$L$201, 1), 0)+1))</f>
        <v/>
      </c>
      <c r="L54" s="14">
        <f>IF(ROW()-1&gt;SUM(Floors!$E$2:$E$201), "", INDEX(Floors!$D$2:$D$201, IFERROR(MATCH(ROW()-1-0.0001, Floors!$L$2:$L$201, 1), 0)+1))</f>
        <v/>
      </c>
      <c r="M54" s="15">
        <f>IF(ROW()-1&gt;SUM(Floors!$E$2:$E$201), "", INDEX(Floors!$K$2:$K$201, IFERROR(MATCH(ROW()-1-0.0001, Floors!$L$2:$L$201, 1), 0)+1))</f>
        <v/>
      </c>
    </row>
    <row r="55">
      <c r="A55" s="6">
        <f>IF(J55="","",IF(J55=J54,"",J55))</f>
        <v/>
      </c>
      <c r="B55" s="6">
        <f>IF(K55="","",IF(K55=K54,"",K55))</f>
        <v/>
      </c>
      <c r="C55" s="5">
        <f>IF(L55="","",IF(L55=L54,"",L55))</f>
        <v/>
      </c>
      <c r="D55" s="6">
        <f>IF(L55="","", SUBSTITUTE(M55," Floor","") &amp; " " &amp; CHOOSE(MIN((ROW()-1)-IFERROR(INDEX(Floors!$L$2:$L$201, MATCH(ROW()-1-0.0001, Floors!$L$2:$L$201, 1)), 0), 4), "North", "South", "East", "West"))</f>
        <v/>
      </c>
      <c r="E55" s="12" t="n"/>
      <c r="F55" s="12" t="n"/>
      <c r="G55" s="12" t="n"/>
      <c r="H55" s="16" t="n"/>
      <c r="I55" s="16" t="n"/>
      <c r="J55" s="15">
        <f>IF(ROW()-1&gt;SUM(Floors!$E$2:$E$201), "", INDEX(Floors!$F$2:$F$201, IFERROR(MATCH(ROW()-1-0.0001, Floors!$L$2:$L$201, 1), 0)+1))</f>
        <v/>
      </c>
      <c r="K55" s="15">
        <f>IF(ROW()-1&gt;SUM(Floors!$E$2:$E$201), "", INDEX(Floors!$H$2:$H$201, IFERROR(MATCH(ROW()-1-0.0001, Floors!$L$2:$L$201, 1), 0)+1))</f>
        <v/>
      </c>
      <c r="L55" s="14">
        <f>IF(ROW()-1&gt;SUM(Floors!$E$2:$E$201), "", INDEX(Floors!$D$2:$D$201, IFERROR(MATCH(ROW()-1-0.0001, Floors!$L$2:$L$201, 1), 0)+1))</f>
        <v/>
      </c>
      <c r="M55" s="15">
        <f>IF(ROW()-1&gt;SUM(Floors!$E$2:$E$201), "", INDEX(Floors!$K$2:$K$201, IFERROR(MATCH(ROW()-1-0.0001, Floors!$L$2:$L$201, 1), 0)+1))</f>
        <v/>
      </c>
    </row>
    <row r="56">
      <c r="A56" s="6">
        <f>IF(J56="","",IF(J56=J55,"",J56))</f>
        <v/>
      </c>
      <c r="B56" s="6">
        <f>IF(K56="","",IF(K56=K55,"",K56))</f>
        <v/>
      </c>
      <c r="C56" s="5">
        <f>IF(L56="","",IF(L56=L55,"",L56))</f>
        <v/>
      </c>
      <c r="D56" s="6">
        <f>IF(L56="","", SUBSTITUTE(M56," Floor","") &amp; " " &amp; CHOOSE(MIN((ROW()-1)-IFERROR(INDEX(Floors!$L$2:$L$201, MATCH(ROW()-1-0.0001, Floors!$L$2:$L$201, 1)), 0), 4), "North", "South", "East", "West"))</f>
        <v/>
      </c>
      <c r="E56" s="12" t="n"/>
      <c r="F56" s="12" t="n"/>
      <c r="G56" s="12" t="n"/>
      <c r="H56" s="16" t="n"/>
      <c r="I56" s="16" t="n"/>
      <c r="J56" s="15">
        <f>IF(ROW()-1&gt;SUM(Floors!$E$2:$E$201), "", INDEX(Floors!$F$2:$F$201, IFERROR(MATCH(ROW()-1-0.0001, Floors!$L$2:$L$201, 1), 0)+1))</f>
        <v/>
      </c>
      <c r="K56" s="15">
        <f>IF(ROW()-1&gt;SUM(Floors!$E$2:$E$201), "", INDEX(Floors!$H$2:$H$201, IFERROR(MATCH(ROW()-1-0.0001, Floors!$L$2:$L$201, 1), 0)+1))</f>
        <v/>
      </c>
      <c r="L56" s="14">
        <f>IF(ROW()-1&gt;SUM(Floors!$E$2:$E$201), "", INDEX(Floors!$D$2:$D$201, IFERROR(MATCH(ROW()-1-0.0001, Floors!$L$2:$L$201, 1), 0)+1))</f>
        <v/>
      </c>
      <c r="M56" s="15">
        <f>IF(ROW()-1&gt;SUM(Floors!$E$2:$E$201), "", INDEX(Floors!$K$2:$K$201, IFERROR(MATCH(ROW()-1-0.0001, Floors!$L$2:$L$201, 1), 0)+1))</f>
        <v/>
      </c>
    </row>
    <row r="57">
      <c r="A57" s="6">
        <f>IF(J57="","",IF(J57=J56,"",J57))</f>
        <v/>
      </c>
      <c r="B57" s="6">
        <f>IF(K57="","",IF(K57=K56,"",K57))</f>
        <v/>
      </c>
      <c r="C57" s="5">
        <f>IF(L57="","",IF(L57=L56,"",L57))</f>
        <v/>
      </c>
      <c r="D57" s="6">
        <f>IF(L57="","", SUBSTITUTE(M57," Floor","") &amp; " " &amp; CHOOSE(MIN((ROW()-1)-IFERROR(INDEX(Floors!$L$2:$L$201, MATCH(ROW()-1-0.0001, Floors!$L$2:$L$201, 1)), 0), 4), "North", "South", "East", "West"))</f>
        <v/>
      </c>
      <c r="E57" s="12" t="n"/>
      <c r="F57" s="12" t="n"/>
      <c r="G57" s="12" t="n"/>
      <c r="H57" s="16" t="n"/>
      <c r="I57" s="16" t="n"/>
      <c r="J57" s="15">
        <f>IF(ROW()-1&gt;SUM(Floors!$E$2:$E$201), "", INDEX(Floors!$F$2:$F$201, IFERROR(MATCH(ROW()-1-0.0001, Floors!$L$2:$L$201, 1), 0)+1))</f>
        <v/>
      </c>
      <c r="K57" s="15">
        <f>IF(ROW()-1&gt;SUM(Floors!$E$2:$E$201), "", INDEX(Floors!$H$2:$H$201, IFERROR(MATCH(ROW()-1-0.0001, Floors!$L$2:$L$201, 1), 0)+1))</f>
        <v/>
      </c>
      <c r="L57" s="14">
        <f>IF(ROW()-1&gt;SUM(Floors!$E$2:$E$201), "", INDEX(Floors!$D$2:$D$201, IFERROR(MATCH(ROW()-1-0.0001, Floors!$L$2:$L$201, 1), 0)+1))</f>
        <v/>
      </c>
      <c r="M57" s="15">
        <f>IF(ROW()-1&gt;SUM(Floors!$E$2:$E$201), "", INDEX(Floors!$K$2:$K$201, IFERROR(MATCH(ROW()-1-0.0001, Floors!$L$2:$L$201, 1), 0)+1))</f>
        <v/>
      </c>
    </row>
    <row r="58">
      <c r="A58" s="6">
        <f>IF(J58="","",IF(J58=J57,"",J58))</f>
        <v/>
      </c>
      <c r="B58" s="6">
        <f>IF(K58="","",IF(K58=K57,"",K58))</f>
        <v/>
      </c>
      <c r="C58" s="5">
        <f>IF(L58="","",IF(L58=L57,"",L58))</f>
        <v/>
      </c>
      <c r="D58" s="6">
        <f>IF(L58="","", SUBSTITUTE(M58," Floor","") &amp; " " &amp; CHOOSE(MIN((ROW()-1)-IFERROR(INDEX(Floors!$L$2:$L$201, MATCH(ROW()-1-0.0001, Floors!$L$2:$L$201, 1)), 0), 4), "North", "South", "East", "West"))</f>
        <v/>
      </c>
      <c r="E58" s="12" t="n"/>
      <c r="F58" s="12" t="n"/>
      <c r="G58" s="12" t="n"/>
      <c r="H58" s="16" t="n"/>
      <c r="I58" s="16" t="n"/>
      <c r="J58" s="15">
        <f>IF(ROW()-1&gt;SUM(Floors!$E$2:$E$201), "", INDEX(Floors!$F$2:$F$201, IFERROR(MATCH(ROW()-1-0.0001, Floors!$L$2:$L$201, 1), 0)+1))</f>
        <v/>
      </c>
      <c r="K58" s="15">
        <f>IF(ROW()-1&gt;SUM(Floors!$E$2:$E$201), "", INDEX(Floors!$H$2:$H$201, IFERROR(MATCH(ROW()-1-0.0001, Floors!$L$2:$L$201, 1), 0)+1))</f>
        <v/>
      </c>
      <c r="L58" s="14">
        <f>IF(ROW()-1&gt;SUM(Floors!$E$2:$E$201), "", INDEX(Floors!$D$2:$D$201, IFERROR(MATCH(ROW()-1-0.0001, Floors!$L$2:$L$201, 1), 0)+1))</f>
        <v/>
      </c>
      <c r="M58" s="15">
        <f>IF(ROW()-1&gt;SUM(Floors!$E$2:$E$201), "", INDEX(Floors!$K$2:$K$201, IFERROR(MATCH(ROW()-1-0.0001, Floors!$L$2:$L$201, 1), 0)+1))</f>
        <v/>
      </c>
    </row>
    <row r="59">
      <c r="A59" s="6">
        <f>IF(J59="","",IF(J59=J58,"",J59))</f>
        <v/>
      </c>
      <c r="B59" s="6">
        <f>IF(K59="","",IF(K59=K58,"",K59))</f>
        <v/>
      </c>
      <c r="C59" s="5">
        <f>IF(L59="","",IF(L59=L58,"",L59))</f>
        <v/>
      </c>
      <c r="D59" s="6">
        <f>IF(L59="","", SUBSTITUTE(M59," Floor","") &amp; " " &amp; CHOOSE(MIN((ROW()-1)-IFERROR(INDEX(Floors!$L$2:$L$201, MATCH(ROW()-1-0.0001, Floors!$L$2:$L$201, 1)), 0), 4), "North", "South", "East", "West"))</f>
        <v/>
      </c>
      <c r="E59" s="12" t="n"/>
      <c r="F59" s="12" t="n"/>
      <c r="G59" s="12" t="n"/>
      <c r="H59" s="16" t="n"/>
      <c r="I59" s="16" t="n"/>
      <c r="J59" s="15">
        <f>IF(ROW()-1&gt;SUM(Floors!$E$2:$E$201), "", INDEX(Floors!$F$2:$F$201, IFERROR(MATCH(ROW()-1-0.0001, Floors!$L$2:$L$201, 1), 0)+1))</f>
        <v/>
      </c>
      <c r="K59" s="15">
        <f>IF(ROW()-1&gt;SUM(Floors!$E$2:$E$201), "", INDEX(Floors!$H$2:$H$201, IFERROR(MATCH(ROW()-1-0.0001, Floors!$L$2:$L$201, 1), 0)+1))</f>
        <v/>
      </c>
      <c r="L59" s="14">
        <f>IF(ROW()-1&gt;SUM(Floors!$E$2:$E$201), "", INDEX(Floors!$D$2:$D$201, IFERROR(MATCH(ROW()-1-0.0001, Floors!$L$2:$L$201, 1), 0)+1))</f>
        <v/>
      </c>
      <c r="M59" s="15">
        <f>IF(ROW()-1&gt;SUM(Floors!$E$2:$E$201), "", INDEX(Floors!$K$2:$K$201, IFERROR(MATCH(ROW()-1-0.0001, Floors!$L$2:$L$201, 1), 0)+1))</f>
        <v/>
      </c>
    </row>
    <row r="60">
      <c r="A60" s="6">
        <f>IF(J60="","",IF(J60=J59,"",J60))</f>
        <v/>
      </c>
      <c r="B60" s="6">
        <f>IF(K60="","",IF(K60=K59,"",K60))</f>
        <v/>
      </c>
      <c r="C60" s="5">
        <f>IF(L60="","",IF(L60=L59,"",L60))</f>
        <v/>
      </c>
      <c r="D60" s="6">
        <f>IF(L60="","", SUBSTITUTE(M60," Floor","") &amp; " " &amp; CHOOSE(MIN((ROW()-1)-IFERROR(INDEX(Floors!$L$2:$L$201, MATCH(ROW()-1-0.0001, Floors!$L$2:$L$201, 1)), 0), 4), "North", "South", "East", "West"))</f>
        <v/>
      </c>
      <c r="E60" s="12" t="n"/>
      <c r="F60" s="12" t="n"/>
      <c r="G60" s="12" t="n"/>
      <c r="H60" s="16" t="n"/>
      <c r="I60" s="16" t="n"/>
      <c r="J60" s="15">
        <f>IF(ROW()-1&gt;SUM(Floors!$E$2:$E$201), "", INDEX(Floors!$F$2:$F$201, IFERROR(MATCH(ROW()-1-0.0001, Floors!$L$2:$L$201, 1), 0)+1))</f>
        <v/>
      </c>
      <c r="K60" s="15">
        <f>IF(ROW()-1&gt;SUM(Floors!$E$2:$E$201), "", INDEX(Floors!$H$2:$H$201, IFERROR(MATCH(ROW()-1-0.0001, Floors!$L$2:$L$201, 1), 0)+1))</f>
        <v/>
      </c>
      <c r="L60" s="14">
        <f>IF(ROW()-1&gt;SUM(Floors!$E$2:$E$201), "", INDEX(Floors!$D$2:$D$201, IFERROR(MATCH(ROW()-1-0.0001, Floors!$L$2:$L$201, 1), 0)+1))</f>
        <v/>
      </c>
      <c r="M60" s="15">
        <f>IF(ROW()-1&gt;SUM(Floors!$E$2:$E$201), "", INDEX(Floors!$K$2:$K$201, IFERROR(MATCH(ROW()-1-0.0001, Floors!$L$2:$L$201, 1), 0)+1))</f>
        <v/>
      </c>
    </row>
    <row r="61">
      <c r="A61" s="6">
        <f>IF(J61="","",IF(J61=J60,"",J61))</f>
        <v/>
      </c>
      <c r="B61" s="6">
        <f>IF(K61="","",IF(K61=K60,"",K61))</f>
        <v/>
      </c>
      <c r="C61" s="5">
        <f>IF(L61="","",IF(L61=L60,"",L61))</f>
        <v/>
      </c>
      <c r="D61" s="6">
        <f>IF(L61="","", SUBSTITUTE(M61," Floor","") &amp; " " &amp; CHOOSE(MIN((ROW()-1)-IFERROR(INDEX(Floors!$L$2:$L$201, MATCH(ROW()-1-0.0001, Floors!$L$2:$L$201, 1)), 0), 4), "North", "South", "East", "West"))</f>
        <v/>
      </c>
      <c r="E61" s="12" t="n"/>
      <c r="F61" s="12" t="n"/>
      <c r="G61" s="12" t="n"/>
      <c r="H61" s="16" t="n"/>
      <c r="I61" s="16" t="n"/>
      <c r="J61" s="15">
        <f>IF(ROW()-1&gt;SUM(Floors!$E$2:$E$201), "", INDEX(Floors!$F$2:$F$201, IFERROR(MATCH(ROW()-1-0.0001, Floors!$L$2:$L$201, 1), 0)+1))</f>
        <v/>
      </c>
      <c r="K61" s="15">
        <f>IF(ROW()-1&gt;SUM(Floors!$E$2:$E$201), "", INDEX(Floors!$H$2:$H$201, IFERROR(MATCH(ROW()-1-0.0001, Floors!$L$2:$L$201, 1), 0)+1))</f>
        <v/>
      </c>
      <c r="L61" s="14">
        <f>IF(ROW()-1&gt;SUM(Floors!$E$2:$E$201), "", INDEX(Floors!$D$2:$D$201, IFERROR(MATCH(ROW()-1-0.0001, Floors!$L$2:$L$201, 1), 0)+1))</f>
        <v/>
      </c>
      <c r="M61" s="15">
        <f>IF(ROW()-1&gt;SUM(Floors!$E$2:$E$201), "", INDEX(Floors!$K$2:$K$201, IFERROR(MATCH(ROW()-1-0.0001, Floors!$L$2:$L$201, 1), 0)+1))</f>
        <v/>
      </c>
    </row>
    <row r="62">
      <c r="A62" s="6">
        <f>IF(J62="","",IF(J62=J61,"",J62))</f>
        <v/>
      </c>
      <c r="B62" s="6">
        <f>IF(K62="","",IF(K62=K61,"",K62))</f>
        <v/>
      </c>
      <c r="C62" s="5">
        <f>IF(L62="","",IF(L62=L61,"",L62))</f>
        <v/>
      </c>
      <c r="D62" s="6">
        <f>IF(L62="","", SUBSTITUTE(M62," Floor","") &amp; " " &amp; CHOOSE(MIN((ROW()-1)-IFERROR(INDEX(Floors!$L$2:$L$201, MATCH(ROW()-1-0.0001, Floors!$L$2:$L$201, 1)), 0), 4), "North", "South", "East", "West"))</f>
        <v/>
      </c>
      <c r="E62" s="12" t="n"/>
      <c r="F62" s="12" t="n"/>
      <c r="G62" s="12" t="n"/>
      <c r="H62" s="16" t="n"/>
      <c r="I62" s="16" t="n"/>
      <c r="J62" s="15">
        <f>IF(ROW()-1&gt;SUM(Floors!$E$2:$E$201), "", INDEX(Floors!$F$2:$F$201, IFERROR(MATCH(ROW()-1-0.0001, Floors!$L$2:$L$201, 1), 0)+1))</f>
        <v/>
      </c>
      <c r="K62" s="15">
        <f>IF(ROW()-1&gt;SUM(Floors!$E$2:$E$201), "", INDEX(Floors!$H$2:$H$201, IFERROR(MATCH(ROW()-1-0.0001, Floors!$L$2:$L$201, 1), 0)+1))</f>
        <v/>
      </c>
      <c r="L62" s="14">
        <f>IF(ROW()-1&gt;SUM(Floors!$E$2:$E$201), "", INDEX(Floors!$D$2:$D$201, IFERROR(MATCH(ROW()-1-0.0001, Floors!$L$2:$L$201, 1), 0)+1))</f>
        <v/>
      </c>
      <c r="M62" s="15">
        <f>IF(ROW()-1&gt;SUM(Floors!$E$2:$E$201), "", INDEX(Floors!$K$2:$K$201, IFERROR(MATCH(ROW()-1-0.0001, Floors!$L$2:$L$201, 1), 0)+1))</f>
        <v/>
      </c>
    </row>
    <row r="63">
      <c r="A63" s="6">
        <f>IF(J63="","",IF(J63=J62,"",J63))</f>
        <v/>
      </c>
      <c r="B63" s="6">
        <f>IF(K63="","",IF(K63=K62,"",K63))</f>
        <v/>
      </c>
      <c r="C63" s="5">
        <f>IF(L63="","",IF(L63=L62,"",L63))</f>
        <v/>
      </c>
      <c r="D63" s="6">
        <f>IF(L63="","", SUBSTITUTE(M63," Floor","") &amp; " " &amp; CHOOSE(MIN((ROW()-1)-IFERROR(INDEX(Floors!$L$2:$L$201, MATCH(ROW()-1-0.0001, Floors!$L$2:$L$201, 1)), 0), 4), "North", "South", "East", "West"))</f>
        <v/>
      </c>
      <c r="E63" s="12" t="n"/>
      <c r="F63" s="12" t="n"/>
      <c r="G63" s="12" t="n"/>
      <c r="H63" s="16" t="n"/>
      <c r="I63" s="16" t="n"/>
      <c r="J63" s="15">
        <f>IF(ROW()-1&gt;SUM(Floors!$E$2:$E$201), "", INDEX(Floors!$F$2:$F$201, IFERROR(MATCH(ROW()-1-0.0001, Floors!$L$2:$L$201, 1), 0)+1))</f>
        <v/>
      </c>
      <c r="K63" s="15">
        <f>IF(ROW()-1&gt;SUM(Floors!$E$2:$E$201), "", INDEX(Floors!$H$2:$H$201, IFERROR(MATCH(ROW()-1-0.0001, Floors!$L$2:$L$201, 1), 0)+1))</f>
        <v/>
      </c>
      <c r="L63" s="14">
        <f>IF(ROW()-1&gt;SUM(Floors!$E$2:$E$201), "", INDEX(Floors!$D$2:$D$201, IFERROR(MATCH(ROW()-1-0.0001, Floors!$L$2:$L$201, 1), 0)+1))</f>
        <v/>
      </c>
      <c r="M63" s="15">
        <f>IF(ROW()-1&gt;SUM(Floors!$E$2:$E$201), "", INDEX(Floors!$K$2:$K$201, IFERROR(MATCH(ROW()-1-0.0001, Floors!$L$2:$L$201, 1), 0)+1))</f>
        <v/>
      </c>
    </row>
    <row r="64">
      <c r="A64" s="6">
        <f>IF(J64="","",IF(J64=J63,"",J64))</f>
        <v/>
      </c>
      <c r="B64" s="6">
        <f>IF(K64="","",IF(K64=K63,"",K64))</f>
        <v/>
      </c>
      <c r="C64" s="5">
        <f>IF(L64="","",IF(L64=L63,"",L64))</f>
        <v/>
      </c>
      <c r="D64" s="6">
        <f>IF(L64="","", SUBSTITUTE(M64," Floor","") &amp; " " &amp; CHOOSE(MIN((ROW()-1)-IFERROR(INDEX(Floors!$L$2:$L$201, MATCH(ROW()-1-0.0001, Floors!$L$2:$L$201, 1)), 0), 4), "North", "South", "East", "West"))</f>
        <v/>
      </c>
      <c r="E64" s="12" t="n"/>
      <c r="F64" s="12" t="n"/>
      <c r="G64" s="12" t="n"/>
      <c r="H64" s="16" t="n"/>
      <c r="I64" s="16" t="n"/>
      <c r="J64" s="15">
        <f>IF(ROW()-1&gt;SUM(Floors!$E$2:$E$201), "", INDEX(Floors!$F$2:$F$201, IFERROR(MATCH(ROW()-1-0.0001, Floors!$L$2:$L$201, 1), 0)+1))</f>
        <v/>
      </c>
      <c r="K64" s="15">
        <f>IF(ROW()-1&gt;SUM(Floors!$E$2:$E$201), "", INDEX(Floors!$H$2:$H$201, IFERROR(MATCH(ROW()-1-0.0001, Floors!$L$2:$L$201, 1), 0)+1))</f>
        <v/>
      </c>
      <c r="L64" s="14">
        <f>IF(ROW()-1&gt;SUM(Floors!$E$2:$E$201), "", INDEX(Floors!$D$2:$D$201, IFERROR(MATCH(ROW()-1-0.0001, Floors!$L$2:$L$201, 1), 0)+1))</f>
        <v/>
      </c>
      <c r="M64" s="15">
        <f>IF(ROW()-1&gt;SUM(Floors!$E$2:$E$201), "", INDEX(Floors!$K$2:$K$201, IFERROR(MATCH(ROW()-1-0.0001, Floors!$L$2:$L$201, 1), 0)+1))</f>
        <v/>
      </c>
    </row>
    <row r="65">
      <c r="A65" s="6">
        <f>IF(J65="","",IF(J65=J64,"",J65))</f>
        <v/>
      </c>
      <c r="B65" s="6">
        <f>IF(K65="","",IF(K65=K64,"",K65))</f>
        <v/>
      </c>
      <c r="C65" s="5">
        <f>IF(L65="","",IF(L65=L64,"",L65))</f>
        <v/>
      </c>
      <c r="D65" s="6">
        <f>IF(L65="","", SUBSTITUTE(M65," Floor","") &amp; " " &amp; CHOOSE(MIN((ROW()-1)-IFERROR(INDEX(Floors!$L$2:$L$201, MATCH(ROW()-1-0.0001, Floors!$L$2:$L$201, 1)), 0), 4), "North", "South", "East", "West"))</f>
        <v/>
      </c>
      <c r="E65" s="12" t="n"/>
      <c r="F65" s="12" t="n"/>
      <c r="G65" s="12" t="n"/>
      <c r="H65" s="16" t="n"/>
      <c r="I65" s="16" t="n"/>
      <c r="J65" s="15">
        <f>IF(ROW()-1&gt;SUM(Floors!$E$2:$E$201), "", INDEX(Floors!$F$2:$F$201, IFERROR(MATCH(ROW()-1-0.0001, Floors!$L$2:$L$201, 1), 0)+1))</f>
        <v/>
      </c>
      <c r="K65" s="15">
        <f>IF(ROW()-1&gt;SUM(Floors!$E$2:$E$201), "", INDEX(Floors!$H$2:$H$201, IFERROR(MATCH(ROW()-1-0.0001, Floors!$L$2:$L$201, 1), 0)+1))</f>
        <v/>
      </c>
      <c r="L65" s="14">
        <f>IF(ROW()-1&gt;SUM(Floors!$E$2:$E$201), "", INDEX(Floors!$D$2:$D$201, IFERROR(MATCH(ROW()-1-0.0001, Floors!$L$2:$L$201, 1), 0)+1))</f>
        <v/>
      </c>
      <c r="M65" s="15">
        <f>IF(ROW()-1&gt;SUM(Floors!$E$2:$E$201), "", INDEX(Floors!$K$2:$K$201, IFERROR(MATCH(ROW()-1-0.0001, Floors!$L$2:$L$201, 1), 0)+1))</f>
        <v/>
      </c>
    </row>
    <row r="66">
      <c r="A66" s="6">
        <f>IF(J66="","",IF(J66=J65,"",J66))</f>
        <v/>
      </c>
      <c r="B66" s="6">
        <f>IF(K66="","",IF(K66=K65,"",K66))</f>
        <v/>
      </c>
      <c r="C66" s="5">
        <f>IF(L66="","",IF(L66=L65,"",L66))</f>
        <v/>
      </c>
      <c r="D66" s="6">
        <f>IF(L66="","", SUBSTITUTE(M66," Floor","") &amp; " " &amp; CHOOSE(MIN((ROW()-1)-IFERROR(INDEX(Floors!$L$2:$L$201, MATCH(ROW()-1-0.0001, Floors!$L$2:$L$201, 1)), 0), 4), "North", "South", "East", "West"))</f>
        <v/>
      </c>
      <c r="E66" s="12" t="n"/>
      <c r="F66" s="12" t="n"/>
      <c r="G66" s="12" t="n"/>
      <c r="H66" s="16" t="n"/>
      <c r="I66" s="16" t="n"/>
      <c r="J66" s="15">
        <f>IF(ROW()-1&gt;SUM(Floors!$E$2:$E$201), "", INDEX(Floors!$F$2:$F$201, IFERROR(MATCH(ROW()-1-0.0001, Floors!$L$2:$L$201, 1), 0)+1))</f>
        <v/>
      </c>
      <c r="K66" s="15">
        <f>IF(ROW()-1&gt;SUM(Floors!$E$2:$E$201), "", INDEX(Floors!$H$2:$H$201, IFERROR(MATCH(ROW()-1-0.0001, Floors!$L$2:$L$201, 1), 0)+1))</f>
        <v/>
      </c>
      <c r="L66" s="14">
        <f>IF(ROW()-1&gt;SUM(Floors!$E$2:$E$201), "", INDEX(Floors!$D$2:$D$201, IFERROR(MATCH(ROW()-1-0.0001, Floors!$L$2:$L$201, 1), 0)+1))</f>
        <v/>
      </c>
      <c r="M66" s="15">
        <f>IF(ROW()-1&gt;SUM(Floors!$E$2:$E$201), "", INDEX(Floors!$K$2:$K$201, IFERROR(MATCH(ROW()-1-0.0001, Floors!$L$2:$L$201, 1), 0)+1))</f>
        <v/>
      </c>
    </row>
    <row r="67">
      <c r="A67" s="6">
        <f>IF(J67="","",IF(J67=J66,"",J67))</f>
        <v/>
      </c>
      <c r="B67" s="6">
        <f>IF(K67="","",IF(K67=K66,"",K67))</f>
        <v/>
      </c>
      <c r="C67" s="5">
        <f>IF(L67="","",IF(L67=L66,"",L67))</f>
        <v/>
      </c>
      <c r="D67" s="6">
        <f>IF(L67="","", SUBSTITUTE(M67," Floor","") &amp; " " &amp; CHOOSE(MIN((ROW()-1)-IFERROR(INDEX(Floors!$L$2:$L$201, MATCH(ROW()-1-0.0001, Floors!$L$2:$L$201, 1)), 0), 4), "North", "South", "East", "West"))</f>
        <v/>
      </c>
      <c r="E67" s="12" t="n"/>
      <c r="F67" s="12" t="n"/>
      <c r="G67" s="12" t="n"/>
      <c r="H67" s="16" t="n"/>
      <c r="I67" s="16" t="n"/>
      <c r="J67" s="15">
        <f>IF(ROW()-1&gt;SUM(Floors!$E$2:$E$201), "", INDEX(Floors!$F$2:$F$201, IFERROR(MATCH(ROW()-1-0.0001, Floors!$L$2:$L$201, 1), 0)+1))</f>
        <v/>
      </c>
      <c r="K67" s="15">
        <f>IF(ROW()-1&gt;SUM(Floors!$E$2:$E$201), "", INDEX(Floors!$H$2:$H$201, IFERROR(MATCH(ROW()-1-0.0001, Floors!$L$2:$L$201, 1), 0)+1))</f>
        <v/>
      </c>
      <c r="L67" s="14">
        <f>IF(ROW()-1&gt;SUM(Floors!$E$2:$E$201), "", INDEX(Floors!$D$2:$D$201, IFERROR(MATCH(ROW()-1-0.0001, Floors!$L$2:$L$201, 1), 0)+1))</f>
        <v/>
      </c>
      <c r="M67" s="15">
        <f>IF(ROW()-1&gt;SUM(Floors!$E$2:$E$201), "", INDEX(Floors!$K$2:$K$201, IFERROR(MATCH(ROW()-1-0.0001, Floors!$L$2:$L$201, 1), 0)+1))</f>
        <v/>
      </c>
    </row>
    <row r="68">
      <c r="A68" s="6">
        <f>IF(J68="","",IF(J68=J67,"",J68))</f>
        <v/>
      </c>
      <c r="B68" s="6">
        <f>IF(K68="","",IF(K68=K67,"",K68))</f>
        <v/>
      </c>
      <c r="C68" s="5">
        <f>IF(L68="","",IF(L68=L67,"",L68))</f>
        <v/>
      </c>
      <c r="D68" s="6">
        <f>IF(L68="","", SUBSTITUTE(M68," Floor","") &amp; " " &amp; CHOOSE(MIN((ROW()-1)-IFERROR(INDEX(Floors!$L$2:$L$201, MATCH(ROW()-1-0.0001, Floors!$L$2:$L$201, 1)), 0), 4), "North", "South", "East", "West"))</f>
        <v/>
      </c>
      <c r="E68" s="12" t="n"/>
      <c r="F68" s="12" t="n"/>
      <c r="G68" s="12" t="n"/>
      <c r="H68" s="16" t="n"/>
      <c r="I68" s="16" t="n"/>
      <c r="J68" s="15">
        <f>IF(ROW()-1&gt;SUM(Floors!$E$2:$E$201), "", INDEX(Floors!$F$2:$F$201, IFERROR(MATCH(ROW()-1-0.0001, Floors!$L$2:$L$201, 1), 0)+1))</f>
        <v/>
      </c>
      <c r="K68" s="15">
        <f>IF(ROW()-1&gt;SUM(Floors!$E$2:$E$201), "", INDEX(Floors!$H$2:$H$201, IFERROR(MATCH(ROW()-1-0.0001, Floors!$L$2:$L$201, 1), 0)+1))</f>
        <v/>
      </c>
      <c r="L68" s="14">
        <f>IF(ROW()-1&gt;SUM(Floors!$E$2:$E$201), "", INDEX(Floors!$D$2:$D$201, IFERROR(MATCH(ROW()-1-0.0001, Floors!$L$2:$L$201, 1), 0)+1))</f>
        <v/>
      </c>
      <c r="M68" s="15">
        <f>IF(ROW()-1&gt;SUM(Floors!$E$2:$E$201), "", INDEX(Floors!$K$2:$K$201, IFERROR(MATCH(ROW()-1-0.0001, Floors!$L$2:$L$201, 1), 0)+1))</f>
        <v/>
      </c>
    </row>
    <row r="69">
      <c r="A69" s="6">
        <f>IF(J69="","",IF(J69=J68,"",J69))</f>
        <v/>
      </c>
      <c r="B69" s="6">
        <f>IF(K69="","",IF(K69=K68,"",K69))</f>
        <v/>
      </c>
      <c r="C69" s="5">
        <f>IF(L69="","",IF(L69=L68,"",L69))</f>
        <v/>
      </c>
      <c r="D69" s="6">
        <f>IF(L69="","", SUBSTITUTE(M69," Floor","") &amp; " " &amp; CHOOSE(MIN((ROW()-1)-IFERROR(INDEX(Floors!$L$2:$L$201, MATCH(ROW()-1-0.0001, Floors!$L$2:$L$201, 1)), 0), 4), "North", "South", "East", "West"))</f>
        <v/>
      </c>
      <c r="E69" s="12" t="n"/>
      <c r="F69" s="12" t="n"/>
      <c r="G69" s="12" t="n"/>
      <c r="H69" s="16" t="n"/>
      <c r="I69" s="16" t="n"/>
      <c r="J69" s="15">
        <f>IF(ROW()-1&gt;SUM(Floors!$E$2:$E$201), "", INDEX(Floors!$F$2:$F$201, IFERROR(MATCH(ROW()-1-0.0001, Floors!$L$2:$L$201, 1), 0)+1))</f>
        <v/>
      </c>
      <c r="K69" s="15">
        <f>IF(ROW()-1&gt;SUM(Floors!$E$2:$E$201), "", INDEX(Floors!$H$2:$H$201, IFERROR(MATCH(ROW()-1-0.0001, Floors!$L$2:$L$201, 1), 0)+1))</f>
        <v/>
      </c>
      <c r="L69" s="14">
        <f>IF(ROW()-1&gt;SUM(Floors!$E$2:$E$201), "", INDEX(Floors!$D$2:$D$201, IFERROR(MATCH(ROW()-1-0.0001, Floors!$L$2:$L$201, 1), 0)+1))</f>
        <v/>
      </c>
      <c r="M69" s="15">
        <f>IF(ROW()-1&gt;SUM(Floors!$E$2:$E$201), "", INDEX(Floors!$K$2:$K$201, IFERROR(MATCH(ROW()-1-0.0001, Floors!$L$2:$L$201, 1), 0)+1))</f>
        <v/>
      </c>
    </row>
    <row r="70">
      <c r="A70" s="6">
        <f>IF(J70="","",IF(J70=J69,"",J70))</f>
        <v/>
      </c>
      <c r="B70" s="6">
        <f>IF(K70="","",IF(K70=K69,"",K70))</f>
        <v/>
      </c>
      <c r="C70" s="5">
        <f>IF(L70="","",IF(L70=L69,"",L70))</f>
        <v/>
      </c>
      <c r="D70" s="6">
        <f>IF(L70="","", SUBSTITUTE(M70," Floor","") &amp; " " &amp; CHOOSE(MIN((ROW()-1)-IFERROR(INDEX(Floors!$L$2:$L$201, MATCH(ROW()-1-0.0001, Floors!$L$2:$L$201, 1)), 0), 4), "North", "South", "East", "West"))</f>
        <v/>
      </c>
      <c r="E70" s="12" t="n"/>
      <c r="F70" s="12" t="n"/>
      <c r="G70" s="12" t="n"/>
      <c r="H70" s="16" t="n"/>
      <c r="I70" s="16" t="n"/>
      <c r="J70" s="15">
        <f>IF(ROW()-1&gt;SUM(Floors!$E$2:$E$201), "", INDEX(Floors!$F$2:$F$201, IFERROR(MATCH(ROW()-1-0.0001, Floors!$L$2:$L$201, 1), 0)+1))</f>
        <v/>
      </c>
      <c r="K70" s="15">
        <f>IF(ROW()-1&gt;SUM(Floors!$E$2:$E$201), "", INDEX(Floors!$H$2:$H$201, IFERROR(MATCH(ROW()-1-0.0001, Floors!$L$2:$L$201, 1), 0)+1))</f>
        <v/>
      </c>
      <c r="L70" s="14">
        <f>IF(ROW()-1&gt;SUM(Floors!$E$2:$E$201), "", INDEX(Floors!$D$2:$D$201, IFERROR(MATCH(ROW()-1-0.0001, Floors!$L$2:$L$201, 1), 0)+1))</f>
        <v/>
      </c>
      <c r="M70" s="15">
        <f>IF(ROW()-1&gt;SUM(Floors!$E$2:$E$201), "", INDEX(Floors!$K$2:$K$201, IFERROR(MATCH(ROW()-1-0.0001, Floors!$L$2:$L$201, 1), 0)+1))</f>
        <v/>
      </c>
    </row>
    <row r="71">
      <c r="A71" s="6">
        <f>IF(J71="","",IF(J71=J70,"",J71))</f>
        <v/>
      </c>
      <c r="B71" s="6">
        <f>IF(K71="","",IF(K71=K70,"",K71))</f>
        <v/>
      </c>
      <c r="C71" s="5">
        <f>IF(L71="","",IF(L71=L70,"",L71))</f>
        <v/>
      </c>
      <c r="D71" s="6">
        <f>IF(L71="","", SUBSTITUTE(M71," Floor","") &amp; " " &amp; CHOOSE(MIN((ROW()-1)-IFERROR(INDEX(Floors!$L$2:$L$201, MATCH(ROW()-1-0.0001, Floors!$L$2:$L$201, 1)), 0), 4), "North", "South", "East", "West"))</f>
        <v/>
      </c>
      <c r="E71" s="12" t="n"/>
      <c r="F71" s="12" t="n"/>
      <c r="G71" s="12" t="n"/>
      <c r="H71" s="16" t="n"/>
      <c r="I71" s="16" t="n"/>
      <c r="J71" s="15">
        <f>IF(ROW()-1&gt;SUM(Floors!$E$2:$E$201), "", INDEX(Floors!$F$2:$F$201, IFERROR(MATCH(ROW()-1-0.0001, Floors!$L$2:$L$201, 1), 0)+1))</f>
        <v/>
      </c>
      <c r="K71" s="15">
        <f>IF(ROW()-1&gt;SUM(Floors!$E$2:$E$201), "", INDEX(Floors!$H$2:$H$201, IFERROR(MATCH(ROW()-1-0.0001, Floors!$L$2:$L$201, 1), 0)+1))</f>
        <v/>
      </c>
      <c r="L71" s="14">
        <f>IF(ROW()-1&gt;SUM(Floors!$E$2:$E$201), "", INDEX(Floors!$D$2:$D$201, IFERROR(MATCH(ROW()-1-0.0001, Floors!$L$2:$L$201, 1), 0)+1))</f>
        <v/>
      </c>
      <c r="M71" s="15">
        <f>IF(ROW()-1&gt;SUM(Floors!$E$2:$E$201), "", INDEX(Floors!$K$2:$K$201, IFERROR(MATCH(ROW()-1-0.0001, Floors!$L$2:$L$201, 1), 0)+1))</f>
        <v/>
      </c>
    </row>
    <row r="72">
      <c r="A72" s="6">
        <f>IF(J72="","",IF(J72=J71,"",J72))</f>
        <v/>
      </c>
      <c r="B72" s="6">
        <f>IF(K72="","",IF(K72=K71,"",K72))</f>
        <v/>
      </c>
      <c r="C72" s="5">
        <f>IF(L72="","",IF(L72=L71,"",L72))</f>
        <v/>
      </c>
      <c r="D72" s="6">
        <f>IF(L72="","", SUBSTITUTE(M72," Floor","") &amp; " " &amp; CHOOSE(MIN((ROW()-1)-IFERROR(INDEX(Floors!$L$2:$L$201, MATCH(ROW()-1-0.0001, Floors!$L$2:$L$201, 1)), 0), 4), "North", "South", "East", "West"))</f>
        <v/>
      </c>
      <c r="E72" s="12" t="n"/>
      <c r="F72" s="12" t="n"/>
      <c r="G72" s="12" t="n"/>
      <c r="H72" s="16" t="n"/>
      <c r="I72" s="16" t="n"/>
      <c r="J72" s="15">
        <f>IF(ROW()-1&gt;SUM(Floors!$E$2:$E$201), "", INDEX(Floors!$F$2:$F$201, IFERROR(MATCH(ROW()-1-0.0001, Floors!$L$2:$L$201, 1), 0)+1))</f>
        <v/>
      </c>
      <c r="K72" s="15">
        <f>IF(ROW()-1&gt;SUM(Floors!$E$2:$E$201), "", INDEX(Floors!$H$2:$H$201, IFERROR(MATCH(ROW()-1-0.0001, Floors!$L$2:$L$201, 1), 0)+1))</f>
        <v/>
      </c>
      <c r="L72" s="14">
        <f>IF(ROW()-1&gt;SUM(Floors!$E$2:$E$201), "", INDEX(Floors!$D$2:$D$201, IFERROR(MATCH(ROW()-1-0.0001, Floors!$L$2:$L$201, 1), 0)+1))</f>
        <v/>
      </c>
      <c r="M72" s="15">
        <f>IF(ROW()-1&gt;SUM(Floors!$E$2:$E$201), "", INDEX(Floors!$K$2:$K$201, IFERROR(MATCH(ROW()-1-0.0001, Floors!$L$2:$L$201, 1), 0)+1))</f>
        <v/>
      </c>
    </row>
    <row r="73">
      <c r="A73" s="6">
        <f>IF(J73="","",IF(J73=J72,"",J73))</f>
        <v/>
      </c>
      <c r="B73" s="6">
        <f>IF(K73="","",IF(K73=K72,"",K73))</f>
        <v/>
      </c>
      <c r="C73" s="5">
        <f>IF(L73="","",IF(L73=L72,"",L73))</f>
        <v/>
      </c>
      <c r="D73" s="6">
        <f>IF(L73="","", SUBSTITUTE(M73," Floor","") &amp; " " &amp; CHOOSE(MIN((ROW()-1)-IFERROR(INDEX(Floors!$L$2:$L$201, MATCH(ROW()-1-0.0001, Floors!$L$2:$L$201, 1)), 0), 4), "North", "South", "East", "West"))</f>
        <v/>
      </c>
      <c r="E73" s="12" t="n"/>
      <c r="F73" s="12" t="n"/>
      <c r="G73" s="12" t="n"/>
      <c r="H73" s="16" t="n"/>
      <c r="I73" s="16" t="n"/>
      <c r="J73" s="15">
        <f>IF(ROW()-1&gt;SUM(Floors!$E$2:$E$201), "", INDEX(Floors!$F$2:$F$201, IFERROR(MATCH(ROW()-1-0.0001, Floors!$L$2:$L$201, 1), 0)+1))</f>
        <v/>
      </c>
      <c r="K73" s="15">
        <f>IF(ROW()-1&gt;SUM(Floors!$E$2:$E$201), "", INDEX(Floors!$H$2:$H$201, IFERROR(MATCH(ROW()-1-0.0001, Floors!$L$2:$L$201, 1), 0)+1))</f>
        <v/>
      </c>
      <c r="L73" s="14">
        <f>IF(ROW()-1&gt;SUM(Floors!$E$2:$E$201), "", INDEX(Floors!$D$2:$D$201, IFERROR(MATCH(ROW()-1-0.0001, Floors!$L$2:$L$201, 1), 0)+1))</f>
        <v/>
      </c>
      <c r="M73" s="15">
        <f>IF(ROW()-1&gt;SUM(Floors!$E$2:$E$201), "", INDEX(Floors!$K$2:$K$201, IFERROR(MATCH(ROW()-1-0.0001, Floors!$L$2:$L$201, 1), 0)+1))</f>
        <v/>
      </c>
    </row>
    <row r="74">
      <c r="A74" s="6">
        <f>IF(J74="","",IF(J74=J73,"",J74))</f>
        <v/>
      </c>
      <c r="B74" s="6">
        <f>IF(K74="","",IF(K74=K73,"",K74))</f>
        <v/>
      </c>
      <c r="C74" s="5">
        <f>IF(L74="","",IF(L74=L73,"",L74))</f>
        <v/>
      </c>
      <c r="D74" s="6">
        <f>IF(L74="","", SUBSTITUTE(M74," Floor","") &amp; " " &amp; CHOOSE(MIN((ROW()-1)-IFERROR(INDEX(Floors!$L$2:$L$201, MATCH(ROW()-1-0.0001, Floors!$L$2:$L$201, 1)), 0), 4), "North", "South", "East", "West"))</f>
        <v/>
      </c>
      <c r="E74" s="12" t="n"/>
      <c r="F74" s="12" t="n"/>
      <c r="G74" s="12" t="n"/>
      <c r="H74" s="16" t="n"/>
      <c r="I74" s="16" t="n"/>
      <c r="J74" s="15">
        <f>IF(ROW()-1&gt;SUM(Floors!$E$2:$E$201), "", INDEX(Floors!$F$2:$F$201, IFERROR(MATCH(ROW()-1-0.0001, Floors!$L$2:$L$201, 1), 0)+1))</f>
        <v/>
      </c>
      <c r="K74" s="15">
        <f>IF(ROW()-1&gt;SUM(Floors!$E$2:$E$201), "", INDEX(Floors!$H$2:$H$201, IFERROR(MATCH(ROW()-1-0.0001, Floors!$L$2:$L$201, 1), 0)+1))</f>
        <v/>
      </c>
      <c r="L74" s="14">
        <f>IF(ROW()-1&gt;SUM(Floors!$E$2:$E$201), "", INDEX(Floors!$D$2:$D$201, IFERROR(MATCH(ROW()-1-0.0001, Floors!$L$2:$L$201, 1), 0)+1))</f>
        <v/>
      </c>
      <c r="M74" s="15">
        <f>IF(ROW()-1&gt;SUM(Floors!$E$2:$E$201), "", INDEX(Floors!$K$2:$K$201, IFERROR(MATCH(ROW()-1-0.0001, Floors!$L$2:$L$201, 1), 0)+1))</f>
        <v/>
      </c>
    </row>
    <row r="75">
      <c r="A75" s="6">
        <f>IF(J75="","",IF(J75=J74,"",J75))</f>
        <v/>
      </c>
      <c r="B75" s="6">
        <f>IF(K75="","",IF(K75=K74,"",K75))</f>
        <v/>
      </c>
      <c r="C75" s="5">
        <f>IF(L75="","",IF(L75=L74,"",L75))</f>
        <v/>
      </c>
      <c r="D75" s="6">
        <f>IF(L75="","", SUBSTITUTE(M75," Floor","") &amp; " " &amp; CHOOSE(MIN((ROW()-1)-IFERROR(INDEX(Floors!$L$2:$L$201, MATCH(ROW()-1-0.0001, Floors!$L$2:$L$201, 1)), 0), 4), "North", "South", "East", "West"))</f>
        <v/>
      </c>
      <c r="E75" s="12" t="n"/>
      <c r="F75" s="12" t="n"/>
      <c r="G75" s="12" t="n"/>
      <c r="H75" s="16" t="n"/>
      <c r="I75" s="16" t="n"/>
      <c r="J75" s="15">
        <f>IF(ROW()-1&gt;SUM(Floors!$E$2:$E$201), "", INDEX(Floors!$F$2:$F$201, IFERROR(MATCH(ROW()-1-0.0001, Floors!$L$2:$L$201, 1), 0)+1))</f>
        <v/>
      </c>
      <c r="K75" s="15">
        <f>IF(ROW()-1&gt;SUM(Floors!$E$2:$E$201), "", INDEX(Floors!$H$2:$H$201, IFERROR(MATCH(ROW()-1-0.0001, Floors!$L$2:$L$201, 1), 0)+1))</f>
        <v/>
      </c>
      <c r="L75" s="14">
        <f>IF(ROW()-1&gt;SUM(Floors!$E$2:$E$201), "", INDEX(Floors!$D$2:$D$201, IFERROR(MATCH(ROW()-1-0.0001, Floors!$L$2:$L$201, 1), 0)+1))</f>
        <v/>
      </c>
      <c r="M75" s="15">
        <f>IF(ROW()-1&gt;SUM(Floors!$E$2:$E$201), "", INDEX(Floors!$K$2:$K$201, IFERROR(MATCH(ROW()-1-0.0001, Floors!$L$2:$L$201, 1), 0)+1))</f>
        <v/>
      </c>
    </row>
    <row r="76">
      <c r="A76" s="6">
        <f>IF(J76="","",IF(J76=J75,"",J76))</f>
        <v/>
      </c>
      <c r="B76" s="6">
        <f>IF(K76="","",IF(K76=K75,"",K76))</f>
        <v/>
      </c>
      <c r="C76" s="5">
        <f>IF(L76="","",IF(L76=L75,"",L76))</f>
        <v/>
      </c>
      <c r="D76" s="6">
        <f>IF(L76="","", SUBSTITUTE(M76," Floor","") &amp; " " &amp; CHOOSE(MIN((ROW()-1)-IFERROR(INDEX(Floors!$L$2:$L$201, MATCH(ROW()-1-0.0001, Floors!$L$2:$L$201, 1)), 0), 4), "North", "South", "East", "West"))</f>
        <v/>
      </c>
      <c r="E76" s="12" t="n"/>
      <c r="F76" s="12" t="n"/>
      <c r="G76" s="12" t="n"/>
      <c r="H76" s="16" t="n"/>
      <c r="I76" s="16" t="n"/>
      <c r="J76" s="15">
        <f>IF(ROW()-1&gt;SUM(Floors!$E$2:$E$201), "", INDEX(Floors!$F$2:$F$201, IFERROR(MATCH(ROW()-1-0.0001, Floors!$L$2:$L$201, 1), 0)+1))</f>
        <v/>
      </c>
      <c r="K76" s="15">
        <f>IF(ROW()-1&gt;SUM(Floors!$E$2:$E$201), "", INDEX(Floors!$H$2:$H$201, IFERROR(MATCH(ROW()-1-0.0001, Floors!$L$2:$L$201, 1), 0)+1))</f>
        <v/>
      </c>
      <c r="L76" s="14">
        <f>IF(ROW()-1&gt;SUM(Floors!$E$2:$E$201), "", INDEX(Floors!$D$2:$D$201, IFERROR(MATCH(ROW()-1-0.0001, Floors!$L$2:$L$201, 1), 0)+1))</f>
        <v/>
      </c>
      <c r="M76" s="15">
        <f>IF(ROW()-1&gt;SUM(Floors!$E$2:$E$201), "", INDEX(Floors!$K$2:$K$201, IFERROR(MATCH(ROW()-1-0.0001, Floors!$L$2:$L$201, 1), 0)+1))</f>
        <v/>
      </c>
    </row>
    <row r="77">
      <c r="A77" s="6">
        <f>IF(J77="","",IF(J77=J76,"",J77))</f>
        <v/>
      </c>
      <c r="B77" s="6">
        <f>IF(K77="","",IF(K77=K76,"",K77))</f>
        <v/>
      </c>
      <c r="C77" s="5">
        <f>IF(L77="","",IF(L77=L76,"",L77))</f>
        <v/>
      </c>
      <c r="D77" s="6">
        <f>IF(L77="","", SUBSTITUTE(M77," Floor","") &amp; " " &amp; CHOOSE(MIN((ROW()-1)-IFERROR(INDEX(Floors!$L$2:$L$201, MATCH(ROW()-1-0.0001, Floors!$L$2:$L$201, 1)), 0), 4), "North", "South", "East", "West"))</f>
        <v/>
      </c>
      <c r="E77" s="12" t="n"/>
      <c r="F77" s="12" t="n"/>
      <c r="G77" s="12" t="n"/>
      <c r="H77" s="16" t="n"/>
      <c r="I77" s="16" t="n"/>
      <c r="J77" s="15">
        <f>IF(ROW()-1&gt;SUM(Floors!$E$2:$E$201), "", INDEX(Floors!$F$2:$F$201, IFERROR(MATCH(ROW()-1-0.0001, Floors!$L$2:$L$201, 1), 0)+1))</f>
        <v/>
      </c>
      <c r="K77" s="15">
        <f>IF(ROW()-1&gt;SUM(Floors!$E$2:$E$201), "", INDEX(Floors!$H$2:$H$201, IFERROR(MATCH(ROW()-1-0.0001, Floors!$L$2:$L$201, 1), 0)+1))</f>
        <v/>
      </c>
      <c r="L77" s="14">
        <f>IF(ROW()-1&gt;SUM(Floors!$E$2:$E$201), "", INDEX(Floors!$D$2:$D$201, IFERROR(MATCH(ROW()-1-0.0001, Floors!$L$2:$L$201, 1), 0)+1))</f>
        <v/>
      </c>
      <c r="M77" s="15">
        <f>IF(ROW()-1&gt;SUM(Floors!$E$2:$E$201), "", INDEX(Floors!$K$2:$K$201, IFERROR(MATCH(ROW()-1-0.0001, Floors!$L$2:$L$201, 1), 0)+1))</f>
        <v/>
      </c>
    </row>
    <row r="78">
      <c r="A78" s="6">
        <f>IF(J78="","",IF(J78=J77,"",J78))</f>
        <v/>
      </c>
      <c r="B78" s="6">
        <f>IF(K78="","",IF(K78=K77,"",K78))</f>
        <v/>
      </c>
      <c r="C78" s="5">
        <f>IF(L78="","",IF(L78=L77,"",L78))</f>
        <v/>
      </c>
      <c r="D78" s="6">
        <f>IF(L78="","", SUBSTITUTE(M78," Floor","") &amp; " " &amp; CHOOSE(MIN((ROW()-1)-IFERROR(INDEX(Floors!$L$2:$L$201, MATCH(ROW()-1-0.0001, Floors!$L$2:$L$201, 1)), 0), 4), "North", "South", "East", "West"))</f>
        <v/>
      </c>
      <c r="E78" s="12" t="n"/>
      <c r="F78" s="12" t="n"/>
      <c r="G78" s="12" t="n"/>
      <c r="H78" s="16" t="n"/>
      <c r="I78" s="16" t="n"/>
      <c r="J78" s="15">
        <f>IF(ROW()-1&gt;SUM(Floors!$E$2:$E$201), "", INDEX(Floors!$F$2:$F$201, IFERROR(MATCH(ROW()-1-0.0001, Floors!$L$2:$L$201, 1), 0)+1))</f>
        <v/>
      </c>
      <c r="K78" s="15">
        <f>IF(ROW()-1&gt;SUM(Floors!$E$2:$E$201), "", INDEX(Floors!$H$2:$H$201, IFERROR(MATCH(ROW()-1-0.0001, Floors!$L$2:$L$201, 1), 0)+1))</f>
        <v/>
      </c>
      <c r="L78" s="14">
        <f>IF(ROW()-1&gt;SUM(Floors!$E$2:$E$201), "", INDEX(Floors!$D$2:$D$201, IFERROR(MATCH(ROW()-1-0.0001, Floors!$L$2:$L$201, 1), 0)+1))</f>
        <v/>
      </c>
      <c r="M78" s="15">
        <f>IF(ROW()-1&gt;SUM(Floors!$E$2:$E$201), "", INDEX(Floors!$K$2:$K$201, IFERROR(MATCH(ROW()-1-0.0001, Floors!$L$2:$L$201, 1), 0)+1))</f>
        <v/>
      </c>
    </row>
    <row r="79">
      <c r="A79" s="6">
        <f>IF(J79="","",IF(J79=J78,"",J79))</f>
        <v/>
      </c>
      <c r="B79" s="6">
        <f>IF(K79="","",IF(K79=K78,"",K79))</f>
        <v/>
      </c>
      <c r="C79" s="5">
        <f>IF(L79="","",IF(L79=L78,"",L79))</f>
        <v/>
      </c>
      <c r="D79" s="6">
        <f>IF(L79="","", SUBSTITUTE(M79," Floor","") &amp; " " &amp; CHOOSE(MIN((ROW()-1)-IFERROR(INDEX(Floors!$L$2:$L$201, MATCH(ROW()-1-0.0001, Floors!$L$2:$L$201, 1)), 0), 4), "North", "South", "East", "West"))</f>
        <v/>
      </c>
      <c r="E79" s="12" t="n"/>
      <c r="F79" s="12" t="n"/>
      <c r="G79" s="12" t="n"/>
      <c r="H79" s="16" t="n"/>
      <c r="I79" s="16" t="n"/>
      <c r="J79" s="15">
        <f>IF(ROW()-1&gt;SUM(Floors!$E$2:$E$201), "", INDEX(Floors!$F$2:$F$201, IFERROR(MATCH(ROW()-1-0.0001, Floors!$L$2:$L$201, 1), 0)+1))</f>
        <v/>
      </c>
      <c r="K79" s="15">
        <f>IF(ROW()-1&gt;SUM(Floors!$E$2:$E$201), "", INDEX(Floors!$H$2:$H$201, IFERROR(MATCH(ROW()-1-0.0001, Floors!$L$2:$L$201, 1), 0)+1))</f>
        <v/>
      </c>
      <c r="L79" s="14">
        <f>IF(ROW()-1&gt;SUM(Floors!$E$2:$E$201), "", INDEX(Floors!$D$2:$D$201, IFERROR(MATCH(ROW()-1-0.0001, Floors!$L$2:$L$201, 1), 0)+1))</f>
        <v/>
      </c>
      <c r="M79" s="15">
        <f>IF(ROW()-1&gt;SUM(Floors!$E$2:$E$201), "", INDEX(Floors!$K$2:$K$201, IFERROR(MATCH(ROW()-1-0.0001, Floors!$L$2:$L$201, 1), 0)+1))</f>
        <v/>
      </c>
    </row>
    <row r="80">
      <c r="A80" s="6">
        <f>IF(J80="","",IF(J80=J79,"",J80))</f>
        <v/>
      </c>
      <c r="B80" s="6">
        <f>IF(K80="","",IF(K80=K79,"",K80))</f>
        <v/>
      </c>
      <c r="C80" s="5">
        <f>IF(L80="","",IF(L80=L79,"",L80))</f>
        <v/>
      </c>
      <c r="D80" s="6">
        <f>IF(L80="","", SUBSTITUTE(M80," Floor","") &amp; " " &amp; CHOOSE(MIN((ROW()-1)-IFERROR(INDEX(Floors!$L$2:$L$201, MATCH(ROW()-1-0.0001, Floors!$L$2:$L$201, 1)), 0), 4), "North", "South", "East", "West"))</f>
        <v/>
      </c>
      <c r="E80" s="12" t="n"/>
      <c r="F80" s="12" t="n"/>
      <c r="G80" s="12" t="n"/>
      <c r="H80" s="16" t="n"/>
      <c r="I80" s="16" t="n"/>
      <c r="J80" s="15">
        <f>IF(ROW()-1&gt;SUM(Floors!$E$2:$E$201), "", INDEX(Floors!$F$2:$F$201, IFERROR(MATCH(ROW()-1-0.0001, Floors!$L$2:$L$201, 1), 0)+1))</f>
        <v/>
      </c>
      <c r="K80" s="15">
        <f>IF(ROW()-1&gt;SUM(Floors!$E$2:$E$201), "", INDEX(Floors!$H$2:$H$201, IFERROR(MATCH(ROW()-1-0.0001, Floors!$L$2:$L$201, 1), 0)+1))</f>
        <v/>
      </c>
      <c r="L80" s="14">
        <f>IF(ROW()-1&gt;SUM(Floors!$E$2:$E$201), "", INDEX(Floors!$D$2:$D$201, IFERROR(MATCH(ROW()-1-0.0001, Floors!$L$2:$L$201, 1), 0)+1))</f>
        <v/>
      </c>
      <c r="M80" s="15">
        <f>IF(ROW()-1&gt;SUM(Floors!$E$2:$E$201), "", INDEX(Floors!$K$2:$K$201, IFERROR(MATCH(ROW()-1-0.0001, Floors!$L$2:$L$201, 1), 0)+1))</f>
        <v/>
      </c>
    </row>
    <row r="81">
      <c r="A81" s="6">
        <f>IF(J81="","",IF(J81=J80,"",J81))</f>
        <v/>
      </c>
      <c r="B81" s="6">
        <f>IF(K81="","",IF(K81=K80,"",K81))</f>
        <v/>
      </c>
      <c r="C81" s="5">
        <f>IF(L81="","",IF(L81=L80,"",L81))</f>
        <v/>
      </c>
      <c r="D81" s="6">
        <f>IF(L81="","", SUBSTITUTE(M81," Floor","") &amp; " " &amp; CHOOSE(MIN((ROW()-1)-IFERROR(INDEX(Floors!$L$2:$L$201, MATCH(ROW()-1-0.0001, Floors!$L$2:$L$201, 1)), 0), 4), "North", "South", "East", "West"))</f>
        <v/>
      </c>
      <c r="E81" s="12" t="n"/>
      <c r="F81" s="12" t="n"/>
      <c r="G81" s="12" t="n"/>
      <c r="H81" s="16" t="n"/>
      <c r="I81" s="16" t="n"/>
      <c r="J81" s="15">
        <f>IF(ROW()-1&gt;SUM(Floors!$E$2:$E$201), "", INDEX(Floors!$F$2:$F$201, IFERROR(MATCH(ROW()-1-0.0001, Floors!$L$2:$L$201, 1), 0)+1))</f>
        <v/>
      </c>
      <c r="K81" s="15">
        <f>IF(ROW()-1&gt;SUM(Floors!$E$2:$E$201), "", INDEX(Floors!$H$2:$H$201, IFERROR(MATCH(ROW()-1-0.0001, Floors!$L$2:$L$201, 1), 0)+1))</f>
        <v/>
      </c>
      <c r="L81" s="14">
        <f>IF(ROW()-1&gt;SUM(Floors!$E$2:$E$201), "", INDEX(Floors!$D$2:$D$201, IFERROR(MATCH(ROW()-1-0.0001, Floors!$L$2:$L$201, 1), 0)+1))</f>
        <v/>
      </c>
      <c r="M81" s="15">
        <f>IF(ROW()-1&gt;SUM(Floors!$E$2:$E$201), "", INDEX(Floors!$K$2:$K$201, IFERROR(MATCH(ROW()-1-0.0001, Floors!$L$2:$L$201, 1), 0)+1))</f>
        <v/>
      </c>
    </row>
    <row r="82">
      <c r="A82" s="6">
        <f>IF(J82="","",IF(J82=J81,"",J82))</f>
        <v/>
      </c>
      <c r="B82" s="6">
        <f>IF(K82="","",IF(K82=K81,"",K82))</f>
        <v/>
      </c>
      <c r="C82" s="5">
        <f>IF(L82="","",IF(L82=L81,"",L82))</f>
        <v/>
      </c>
      <c r="D82" s="6">
        <f>IF(L82="","", SUBSTITUTE(M82," Floor","") &amp; " " &amp; CHOOSE(MIN((ROW()-1)-IFERROR(INDEX(Floors!$L$2:$L$201, MATCH(ROW()-1-0.0001, Floors!$L$2:$L$201, 1)), 0), 4), "North", "South", "East", "West"))</f>
        <v/>
      </c>
      <c r="E82" s="12" t="n"/>
      <c r="F82" s="12" t="n"/>
      <c r="G82" s="12" t="n"/>
      <c r="H82" s="16" t="n"/>
      <c r="I82" s="16" t="n"/>
      <c r="J82" s="15">
        <f>IF(ROW()-1&gt;SUM(Floors!$E$2:$E$201), "", INDEX(Floors!$F$2:$F$201, IFERROR(MATCH(ROW()-1-0.0001, Floors!$L$2:$L$201, 1), 0)+1))</f>
        <v/>
      </c>
      <c r="K82" s="15">
        <f>IF(ROW()-1&gt;SUM(Floors!$E$2:$E$201), "", INDEX(Floors!$H$2:$H$201, IFERROR(MATCH(ROW()-1-0.0001, Floors!$L$2:$L$201, 1), 0)+1))</f>
        <v/>
      </c>
      <c r="L82" s="14">
        <f>IF(ROW()-1&gt;SUM(Floors!$E$2:$E$201), "", INDEX(Floors!$D$2:$D$201, IFERROR(MATCH(ROW()-1-0.0001, Floors!$L$2:$L$201, 1), 0)+1))</f>
        <v/>
      </c>
      <c r="M82" s="15">
        <f>IF(ROW()-1&gt;SUM(Floors!$E$2:$E$201), "", INDEX(Floors!$K$2:$K$201, IFERROR(MATCH(ROW()-1-0.0001, Floors!$L$2:$L$201, 1), 0)+1))</f>
        <v/>
      </c>
    </row>
    <row r="83">
      <c r="A83" s="6">
        <f>IF(J83="","",IF(J83=J82,"",J83))</f>
        <v/>
      </c>
      <c r="B83" s="6">
        <f>IF(K83="","",IF(K83=K82,"",K83))</f>
        <v/>
      </c>
      <c r="C83" s="5">
        <f>IF(L83="","",IF(L83=L82,"",L83))</f>
        <v/>
      </c>
      <c r="D83" s="6">
        <f>IF(L83="","", SUBSTITUTE(M83," Floor","") &amp; " " &amp; CHOOSE(MIN((ROW()-1)-IFERROR(INDEX(Floors!$L$2:$L$201, MATCH(ROW()-1-0.0001, Floors!$L$2:$L$201, 1)), 0), 4), "North", "South", "East", "West"))</f>
        <v/>
      </c>
      <c r="E83" s="12" t="n"/>
      <c r="F83" s="12" t="n"/>
      <c r="G83" s="12" t="n"/>
      <c r="H83" s="16" t="n"/>
      <c r="I83" s="16" t="n"/>
      <c r="J83" s="15">
        <f>IF(ROW()-1&gt;SUM(Floors!$E$2:$E$201), "", INDEX(Floors!$F$2:$F$201, IFERROR(MATCH(ROW()-1-0.0001, Floors!$L$2:$L$201, 1), 0)+1))</f>
        <v/>
      </c>
      <c r="K83" s="15">
        <f>IF(ROW()-1&gt;SUM(Floors!$E$2:$E$201), "", INDEX(Floors!$H$2:$H$201, IFERROR(MATCH(ROW()-1-0.0001, Floors!$L$2:$L$201, 1), 0)+1))</f>
        <v/>
      </c>
      <c r="L83" s="14">
        <f>IF(ROW()-1&gt;SUM(Floors!$E$2:$E$201), "", INDEX(Floors!$D$2:$D$201, IFERROR(MATCH(ROW()-1-0.0001, Floors!$L$2:$L$201, 1), 0)+1))</f>
        <v/>
      </c>
      <c r="M83" s="15">
        <f>IF(ROW()-1&gt;SUM(Floors!$E$2:$E$201), "", INDEX(Floors!$K$2:$K$201, IFERROR(MATCH(ROW()-1-0.0001, Floors!$L$2:$L$201, 1), 0)+1))</f>
        <v/>
      </c>
    </row>
    <row r="84">
      <c r="A84" s="6">
        <f>IF(J84="","",IF(J84=J83,"",J84))</f>
        <v/>
      </c>
      <c r="B84" s="6">
        <f>IF(K84="","",IF(K84=K83,"",K84))</f>
        <v/>
      </c>
      <c r="C84" s="5">
        <f>IF(L84="","",IF(L84=L83,"",L84))</f>
        <v/>
      </c>
      <c r="D84" s="6">
        <f>IF(L84="","", SUBSTITUTE(M84," Floor","") &amp; " " &amp; CHOOSE(MIN((ROW()-1)-IFERROR(INDEX(Floors!$L$2:$L$201, MATCH(ROW()-1-0.0001, Floors!$L$2:$L$201, 1)), 0), 4), "North", "South", "East", "West"))</f>
        <v/>
      </c>
      <c r="E84" s="12" t="n"/>
      <c r="F84" s="12" t="n"/>
      <c r="G84" s="12" t="n"/>
      <c r="H84" s="16" t="n"/>
      <c r="I84" s="16" t="n"/>
      <c r="J84" s="15">
        <f>IF(ROW()-1&gt;SUM(Floors!$E$2:$E$201), "", INDEX(Floors!$F$2:$F$201, IFERROR(MATCH(ROW()-1-0.0001, Floors!$L$2:$L$201, 1), 0)+1))</f>
        <v/>
      </c>
      <c r="K84" s="15">
        <f>IF(ROW()-1&gt;SUM(Floors!$E$2:$E$201), "", INDEX(Floors!$H$2:$H$201, IFERROR(MATCH(ROW()-1-0.0001, Floors!$L$2:$L$201, 1), 0)+1))</f>
        <v/>
      </c>
      <c r="L84" s="14">
        <f>IF(ROW()-1&gt;SUM(Floors!$E$2:$E$201), "", INDEX(Floors!$D$2:$D$201, IFERROR(MATCH(ROW()-1-0.0001, Floors!$L$2:$L$201, 1), 0)+1))</f>
        <v/>
      </c>
      <c r="M84" s="15">
        <f>IF(ROW()-1&gt;SUM(Floors!$E$2:$E$201), "", INDEX(Floors!$K$2:$K$201, IFERROR(MATCH(ROW()-1-0.0001, Floors!$L$2:$L$201, 1), 0)+1))</f>
        <v/>
      </c>
    </row>
    <row r="85">
      <c r="A85" s="6">
        <f>IF(J85="","",IF(J85=J84,"",J85))</f>
        <v/>
      </c>
      <c r="B85" s="6">
        <f>IF(K85="","",IF(K85=K84,"",K85))</f>
        <v/>
      </c>
      <c r="C85" s="5">
        <f>IF(L85="","",IF(L85=L84,"",L85))</f>
        <v/>
      </c>
      <c r="D85" s="6">
        <f>IF(L85="","", SUBSTITUTE(M85," Floor","") &amp; " " &amp; CHOOSE(MIN((ROW()-1)-IFERROR(INDEX(Floors!$L$2:$L$201, MATCH(ROW()-1-0.0001, Floors!$L$2:$L$201, 1)), 0), 4), "North", "South", "East", "West"))</f>
        <v/>
      </c>
      <c r="E85" s="12" t="n"/>
      <c r="F85" s="12" t="n"/>
      <c r="G85" s="12" t="n"/>
      <c r="H85" s="16" t="n"/>
      <c r="I85" s="16" t="n"/>
      <c r="J85" s="15">
        <f>IF(ROW()-1&gt;SUM(Floors!$E$2:$E$201), "", INDEX(Floors!$F$2:$F$201, IFERROR(MATCH(ROW()-1-0.0001, Floors!$L$2:$L$201, 1), 0)+1))</f>
        <v/>
      </c>
      <c r="K85" s="15">
        <f>IF(ROW()-1&gt;SUM(Floors!$E$2:$E$201), "", INDEX(Floors!$H$2:$H$201, IFERROR(MATCH(ROW()-1-0.0001, Floors!$L$2:$L$201, 1), 0)+1))</f>
        <v/>
      </c>
      <c r="L85" s="14">
        <f>IF(ROW()-1&gt;SUM(Floors!$E$2:$E$201), "", INDEX(Floors!$D$2:$D$201, IFERROR(MATCH(ROW()-1-0.0001, Floors!$L$2:$L$201, 1), 0)+1))</f>
        <v/>
      </c>
      <c r="M85" s="15">
        <f>IF(ROW()-1&gt;SUM(Floors!$E$2:$E$201), "", INDEX(Floors!$K$2:$K$201, IFERROR(MATCH(ROW()-1-0.0001, Floors!$L$2:$L$201, 1), 0)+1))</f>
        <v/>
      </c>
    </row>
    <row r="86">
      <c r="A86" s="6">
        <f>IF(J86="","",IF(J86=J85,"",J86))</f>
        <v/>
      </c>
      <c r="B86" s="6">
        <f>IF(K86="","",IF(K86=K85,"",K86))</f>
        <v/>
      </c>
      <c r="C86" s="5">
        <f>IF(L86="","",IF(L86=L85,"",L86))</f>
        <v/>
      </c>
      <c r="D86" s="6">
        <f>IF(L86="","", SUBSTITUTE(M86," Floor","") &amp; " " &amp; CHOOSE(MIN((ROW()-1)-IFERROR(INDEX(Floors!$L$2:$L$201, MATCH(ROW()-1-0.0001, Floors!$L$2:$L$201, 1)), 0), 4), "North", "South", "East", "West"))</f>
        <v/>
      </c>
      <c r="E86" s="12" t="n"/>
      <c r="F86" s="12" t="n"/>
      <c r="G86" s="12" t="n"/>
      <c r="H86" s="16" t="n"/>
      <c r="I86" s="16" t="n"/>
      <c r="J86" s="15">
        <f>IF(ROW()-1&gt;SUM(Floors!$E$2:$E$201), "", INDEX(Floors!$F$2:$F$201, IFERROR(MATCH(ROW()-1-0.0001, Floors!$L$2:$L$201, 1), 0)+1))</f>
        <v/>
      </c>
      <c r="K86" s="15">
        <f>IF(ROW()-1&gt;SUM(Floors!$E$2:$E$201), "", INDEX(Floors!$H$2:$H$201, IFERROR(MATCH(ROW()-1-0.0001, Floors!$L$2:$L$201, 1), 0)+1))</f>
        <v/>
      </c>
      <c r="L86" s="14">
        <f>IF(ROW()-1&gt;SUM(Floors!$E$2:$E$201), "", INDEX(Floors!$D$2:$D$201, IFERROR(MATCH(ROW()-1-0.0001, Floors!$L$2:$L$201, 1), 0)+1))</f>
        <v/>
      </c>
      <c r="M86" s="15">
        <f>IF(ROW()-1&gt;SUM(Floors!$E$2:$E$201), "", INDEX(Floors!$K$2:$K$201, IFERROR(MATCH(ROW()-1-0.0001, Floors!$L$2:$L$201, 1), 0)+1))</f>
        <v/>
      </c>
    </row>
    <row r="87">
      <c r="A87" s="6">
        <f>IF(J87="","",IF(J87=J86,"",J87))</f>
        <v/>
      </c>
      <c r="B87" s="6">
        <f>IF(K87="","",IF(K87=K86,"",K87))</f>
        <v/>
      </c>
      <c r="C87" s="5">
        <f>IF(L87="","",IF(L87=L86,"",L87))</f>
        <v/>
      </c>
      <c r="D87" s="6">
        <f>IF(L87="","", SUBSTITUTE(M87," Floor","") &amp; " " &amp; CHOOSE(MIN((ROW()-1)-IFERROR(INDEX(Floors!$L$2:$L$201, MATCH(ROW()-1-0.0001, Floors!$L$2:$L$201, 1)), 0), 4), "North", "South", "East", "West"))</f>
        <v/>
      </c>
      <c r="E87" s="12" t="n"/>
      <c r="F87" s="12" t="n"/>
      <c r="G87" s="12" t="n"/>
      <c r="H87" s="16" t="n"/>
      <c r="I87" s="16" t="n"/>
      <c r="J87" s="15">
        <f>IF(ROW()-1&gt;SUM(Floors!$E$2:$E$201), "", INDEX(Floors!$F$2:$F$201, IFERROR(MATCH(ROW()-1-0.0001, Floors!$L$2:$L$201, 1), 0)+1))</f>
        <v/>
      </c>
      <c r="K87" s="15">
        <f>IF(ROW()-1&gt;SUM(Floors!$E$2:$E$201), "", INDEX(Floors!$H$2:$H$201, IFERROR(MATCH(ROW()-1-0.0001, Floors!$L$2:$L$201, 1), 0)+1))</f>
        <v/>
      </c>
      <c r="L87" s="14">
        <f>IF(ROW()-1&gt;SUM(Floors!$E$2:$E$201), "", INDEX(Floors!$D$2:$D$201, IFERROR(MATCH(ROW()-1-0.0001, Floors!$L$2:$L$201, 1), 0)+1))</f>
        <v/>
      </c>
      <c r="M87" s="15">
        <f>IF(ROW()-1&gt;SUM(Floors!$E$2:$E$201), "", INDEX(Floors!$K$2:$K$201, IFERROR(MATCH(ROW()-1-0.0001, Floors!$L$2:$L$201, 1), 0)+1))</f>
        <v/>
      </c>
    </row>
    <row r="88">
      <c r="A88" s="6">
        <f>IF(J88="","",IF(J88=J87,"",J88))</f>
        <v/>
      </c>
      <c r="B88" s="6">
        <f>IF(K88="","",IF(K88=K87,"",K88))</f>
        <v/>
      </c>
      <c r="C88" s="5">
        <f>IF(L88="","",IF(L88=L87,"",L88))</f>
        <v/>
      </c>
      <c r="D88" s="6">
        <f>IF(L88="","", SUBSTITUTE(M88," Floor","") &amp; " " &amp; CHOOSE(MIN((ROW()-1)-IFERROR(INDEX(Floors!$L$2:$L$201, MATCH(ROW()-1-0.0001, Floors!$L$2:$L$201, 1)), 0), 4), "North", "South", "East", "West"))</f>
        <v/>
      </c>
      <c r="E88" s="12" t="n"/>
      <c r="F88" s="12" t="n"/>
      <c r="G88" s="12" t="n"/>
      <c r="H88" s="16" t="n"/>
      <c r="I88" s="16" t="n"/>
      <c r="J88" s="15">
        <f>IF(ROW()-1&gt;SUM(Floors!$E$2:$E$201), "", INDEX(Floors!$F$2:$F$201, IFERROR(MATCH(ROW()-1-0.0001, Floors!$L$2:$L$201, 1), 0)+1))</f>
        <v/>
      </c>
      <c r="K88" s="15">
        <f>IF(ROW()-1&gt;SUM(Floors!$E$2:$E$201), "", INDEX(Floors!$H$2:$H$201, IFERROR(MATCH(ROW()-1-0.0001, Floors!$L$2:$L$201, 1), 0)+1))</f>
        <v/>
      </c>
      <c r="L88" s="14">
        <f>IF(ROW()-1&gt;SUM(Floors!$E$2:$E$201), "", INDEX(Floors!$D$2:$D$201, IFERROR(MATCH(ROW()-1-0.0001, Floors!$L$2:$L$201, 1), 0)+1))</f>
        <v/>
      </c>
      <c r="M88" s="15">
        <f>IF(ROW()-1&gt;SUM(Floors!$E$2:$E$201), "", INDEX(Floors!$K$2:$K$201, IFERROR(MATCH(ROW()-1-0.0001, Floors!$L$2:$L$201, 1), 0)+1))</f>
        <v/>
      </c>
    </row>
    <row r="89">
      <c r="A89" s="6">
        <f>IF(J89="","",IF(J89=J88,"",J89))</f>
        <v/>
      </c>
      <c r="B89" s="6">
        <f>IF(K89="","",IF(K89=K88,"",K89))</f>
        <v/>
      </c>
      <c r="C89" s="5">
        <f>IF(L89="","",IF(L89=L88,"",L89))</f>
        <v/>
      </c>
      <c r="D89" s="6">
        <f>IF(L89="","", SUBSTITUTE(M89," Floor","") &amp; " " &amp; CHOOSE(MIN((ROW()-1)-IFERROR(INDEX(Floors!$L$2:$L$201, MATCH(ROW()-1-0.0001, Floors!$L$2:$L$201, 1)), 0), 4), "North", "South", "East", "West"))</f>
        <v/>
      </c>
      <c r="E89" s="12" t="n"/>
      <c r="F89" s="12" t="n"/>
      <c r="G89" s="12" t="n"/>
      <c r="H89" s="16" t="n"/>
      <c r="I89" s="16" t="n"/>
      <c r="J89" s="15">
        <f>IF(ROW()-1&gt;SUM(Floors!$E$2:$E$201), "", INDEX(Floors!$F$2:$F$201, IFERROR(MATCH(ROW()-1-0.0001, Floors!$L$2:$L$201, 1), 0)+1))</f>
        <v/>
      </c>
      <c r="K89" s="15">
        <f>IF(ROW()-1&gt;SUM(Floors!$E$2:$E$201), "", INDEX(Floors!$H$2:$H$201, IFERROR(MATCH(ROW()-1-0.0001, Floors!$L$2:$L$201, 1), 0)+1))</f>
        <v/>
      </c>
      <c r="L89" s="14">
        <f>IF(ROW()-1&gt;SUM(Floors!$E$2:$E$201), "", INDEX(Floors!$D$2:$D$201, IFERROR(MATCH(ROW()-1-0.0001, Floors!$L$2:$L$201, 1), 0)+1))</f>
        <v/>
      </c>
      <c r="M89" s="15">
        <f>IF(ROW()-1&gt;SUM(Floors!$E$2:$E$201), "", INDEX(Floors!$K$2:$K$201, IFERROR(MATCH(ROW()-1-0.0001, Floors!$L$2:$L$201, 1), 0)+1))</f>
        <v/>
      </c>
    </row>
    <row r="90">
      <c r="A90" s="6">
        <f>IF(J90="","",IF(J90=J89,"",J90))</f>
        <v/>
      </c>
      <c r="B90" s="6">
        <f>IF(K90="","",IF(K90=K89,"",K90))</f>
        <v/>
      </c>
      <c r="C90" s="5">
        <f>IF(L90="","",IF(L90=L89,"",L90))</f>
        <v/>
      </c>
      <c r="D90" s="6">
        <f>IF(L90="","", SUBSTITUTE(M90," Floor","") &amp; " " &amp; CHOOSE(MIN((ROW()-1)-IFERROR(INDEX(Floors!$L$2:$L$201, MATCH(ROW()-1-0.0001, Floors!$L$2:$L$201, 1)), 0), 4), "North", "South", "East", "West"))</f>
        <v/>
      </c>
      <c r="E90" s="12" t="n"/>
      <c r="F90" s="12" t="n"/>
      <c r="G90" s="12" t="n"/>
      <c r="H90" s="16" t="n"/>
      <c r="I90" s="16" t="n"/>
      <c r="J90" s="15">
        <f>IF(ROW()-1&gt;SUM(Floors!$E$2:$E$201), "", INDEX(Floors!$F$2:$F$201, IFERROR(MATCH(ROW()-1-0.0001, Floors!$L$2:$L$201, 1), 0)+1))</f>
        <v/>
      </c>
      <c r="K90" s="15">
        <f>IF(ROW()-1&gt;SUM(Floors!$E$2:$E$201), "", INDEX(Floors!$H$2:$H$201, IFERROR(MATCH(ROW()-1-0.0001, Floors!$L$2:$L$201, 1), 0)+1))</f>
        <v/>
      </c>
      <c r="L90" s="14">
        <f>IF(ROW()-1&gt;SUM(Floors!$E$2:$E$201), "", INDEX(Floors!$D$2:$D$201, IFERROR(MATCH(ROW()-1-0.0001, Floors!$L$2:$L$201, 1), 0)+1))</f>
        <v/>
      </c>
      <c r="M90" s="15">
        <f>IF(ROW()-1&gt;SUM(Floors!$E$2:$E$201), "", INDEX(Floors!$K$2:$K$201, IFERROR(MATCH(ROW()-1-0.0001, Floors!$L$2:$L$201, 1), 0)+1))</f>
        <v/>
      </c>
    </row>
    <row r="91">
      <c r="A91" s="6">
        <f>IF(J91="","",IF(J91=J90,"",J91))</f>
        <v/>
      </c>
      <c r="B91" s="6">
        <f>IF(K91="","",IF(K91=K90,"",K91))</f>
        <v/>
      </c>
      <c r="C91" s="5">
        <f>IF(L91="","",IF(L91=L90,"",L91))</f>
        <v/>
      </c>
      <c r="D91" s="6">
        <f>IF(L91="","", SUBSTITUTE(M91," Floor","") &amp; " " &amp; CHOOSE(MIN((ROW()-1)-IFERROR(INDEX(Floors!$L$2:$L$201, MATCH(ROW()-1-0.0001, Floors!$L$2:$L$201, 1)), 0), 4), "North", "South", "East", "West"))</f>
        <v/>
      </c>
      <c r="E91" s="12" t="n"/>
      <c r="F91" s="12" t="n"/>
      <c r="G91" s="12" t="n"/>
      <c r="H91" s="16" t="n"/>
      <c r="I91" s="16" t="n"/>
      <c r="J91" s="15">
        <f>IF(ROW()-1&gt;SUM(Floors!$E$2:$E$201), "", INDEX(Floors!$F$2:$F$201, IFERROR(MATCH(ROW()-1-0.0001, Floors!$L$2:$L$201, 1), 0)+1))</f>
        <v/>
      </c>
      <c r="K91" s="15">
        <f>IF(ROW()-1&gt;SUM(Floors!$E$2:$E$201), "", INDEX(Floors!$H$2:$H$201, IFERROR(MATCH(ROW()-1-0.0001, Floors!$L$2:$L$201, 1), 0)+1))</f>
        <v/>
      </c>
      <c r="L91" s="14">
        <f>IF(ROW()-1&gt;SUM(Floors!$E$2:$E$201), "", INDEX(Floors!$D$2:$D$201, IFERROR(MATCH(ROW()-1-0.0001, Floors!$L$2:$L$201, 1), 0)+1))</f>
        <v/>
      </c>
      <c r="M91" s="15">
        <f>IF(ROW()-1&gt;SUM(Floors!$E$2:$E$201), "", INDEX(Floors!$K$2:$K$201, IFERROR(MATCH(ROW()-1-0.0001, Floors!$L$2:$L$201, 1), 0)+1))</f>
        <v/>
      </c>
    </row>
    <row r="92">
      <c r="A92" s="6">
        <f>IF(J92="","",IF(J92=J91,"",J92))</f>
        <v/>
      </c>
      <c r="B92" s="6">
        <f>IF(K92="","",IF(K92=K91,"",K92))</f>
        <v/>
      </c>
      <c r="C92" s="5">
        <f>IF(L92="","",IF(L92=L91,"",L92))</f>
        <v/>
      </c>
      <c r="D92" s="6">
        <f>IF(L92="","", SUBSTITUTE(M92," Floor","") &amp; " " &amp; CHOOSE(MIN((ROW()-1)-IFERROR(INDEX(Floors!$L$2:$L$201, MATCH(ROW()-1-0.0001, Floors!$L$2:$L$201, 1)), 0), 4), "North", "South", "East", "West"))</f>
        <v/>
      </c>
      <c r="E92" s="12" t="n"/>
      <c r="F92" s="12" t="n"/>
      <c r="G92" s="12" t="n"/>
      <c r="H92" s="16" t="n"/>
      <c r="I92" s="16" t="n"/>
      <c r="J92" s="15">
        <f>IF(ROW()-1&gt;SUM(Floors!$E$2:$E$201), "", INDEX(Floors!$F$2:$F$201, IFERROR(MATCH(ROW()-1-0.0001, Floors!$L$2:$L$201, 1), 0)+1))</f>
        <v/>
      </c>
      <c r="K92" s="15">
        <f>IF(ROW()-1&gt;SUM(Floors!$E$2:$E$201), "", INDEX(Floors!$H$2:$H$201, IFERROR(MATCH(ROW()-1-0.0001, Floors!$L$2:$L$201, 1), 0)+1))</f>
        <v/>
      </c>
      <c r="L92" s="14">
        <f>IF(ROW()-1&gt;SUM(Floors!$E$2:$E$201), "", INDEX(Floors!$D$2:$D$201, IFERROR(MATCH(ROW()-1-0.0001, Floors!$L$2:$L$201, 1), 0)+1))</f>
        <v/>
      </c>
      <c r="M92" s="15">
        <f>IF(ROW()-1&gt;SUM(Floors!$E$2:$E$201), "", INDEX(Floors!$K$2:$K$201, IFERROR(MATCH(ROW()-1-0.0001, Floors!$L$2:$L$201, 1), 0)+1))</f>
        <v/>
      </c>
    </row>
    <row r="93">
      <c r="A93" s="6">
        <f>IF(J93="","",IF(J93=J92,"",J93))</f>
        <v/>
      </c>
      <c r="B93" s="6">
        <f>IF(K93="","",IF(K93=K92,"",K93))</f>
        <v/>
      </c>
      <c r="C93" s="5">
        <f>IF(L93="","",IF(L93=L92,"",L93))</f>
        <v/>
      </c>
      <c r="D93" s="6">
        <f>IF(L93="","", SUBSTITUTE(M93," Floor","") &amp; " " &amp; CHOOSE(MIN((ROW()-1)-IFERROR(INDEX(Floors!$L$2:$L$201, MATCH(ROW()-1-0.0001, Floors!$L$2:$L$201, 1)), 0), 4), "North", "South", "East", "West"))</f>
        <v/>
      </c>
      <c r="E93" s="12" t="n"/>
      <c r="F93" s="12" t="n"/>
      <c r="G93" s="12" t="n"/>
      <c r="H93" s="16" t="n"/>
      <c r="I93" s="16" t="n"/>
      <c r="J93" s="15">
        <f>IF(ROW()-1&gt;SUM(Floors!$E$2:$E$201), "", INDEX(Floors!$F$2:$F$201, IFERROR(MATCH(ROW()-1-0.0001, Floors!$L$2:$L$201, 1), 0)+1))</f>
        <v/>
      </c>
      <c r="K93" s="15">
        <f>IF(ROW()-1&gt;SUM(Floors!$E$2:$E$201), "", INDEX(Floors!$H$2:$H$201, IFERROR(MATCH(ROW()-1-0.0001, Floors!$L$2:$L$201, 1), 0)+1))</f>
        <v/>
      </c>
      <c r="L93" s="14">
        <f>IF(ROW()-1&gt;SUM(Floors!$E$2:$E$201), "", INDEX(Floors!$D$2:$D$201, IFERROR(MATCH(ROW()-1-0.0001, Floors!$L$2:$L$201, 1), 0)+1))</f>
        <v/>
      </c>
      <c r="M93" s="15">
        <f>IF(ROW()-1&gt;SUM(Floors!$E$2:$E$201), "", INDEX(Floors!$K$2:$K$201, IFERROR(MATCH(ROW()-1-0.0001, Floors!$L$2:$L$201, 1), 0)+1))</f>
        <v/>
      </c>
    </row>
    <row r="94">
      <c r="A94" s="6">
        <f>IF(J94="","",IF(J94=J93,"",J94))</f>
        <v/>
      </c>
      <c r="B94" s="6">
        <f>IF(K94="","",IF(K94=K93,"",K94))</f>
        <v/>
      </c>
      <c r="C94" s="5">
        <f>IF(L94="","",IF(L94=L93,"",L94))</f>
        <v/>
      </c>
      <c r="D94" s="6">
        <f>IF(L94="","", SUBSTITUTE(M94," Floor","") &amp; " " &amp; CHOOSE(MIN((ROW()-1)-IFERROR(INDEX(Floors!$L$2:$L$201, MATCH(ROW()-1-0.0001, Floors!$L$2:$L$201, 1)), 0), 4), "North", "South", "East", "West"))</f>
        <v/>
      </c>
      <c r="E94" s="12" t="n"/>
      <c r="F94" s="12" t="n"/>
      <c r="G94" s="12" t="n"/>
      <c r="H94" s="16" t="n"/>
      <c r="I94" s="16" t="n"/>
      <c r="J94" s="15">
        <f>IF(ROW()-1&gt;SUM(Floors!$E$2:$E$201), "", INDEX(Floors!$F$2:$F$201, IFERROR(MATCH(ROW()-1-0.0001, Floors!$L$2:$L$201, 1), 0)+1))</f>
        <v/>
      </c>
      <c r="K94" s="15">
        <f>IF(ROW()-1&gt;SUM(Floors!$E$2:$E$201), "", INDEX(Floors!$H$2:$H$201, IFERROR(MATCH(ROW()-1-0.0001, Floors!$L$2:$L$201, 1), 0)+1))</f>
        <v/>
      </c>
      <c r="L94" s="14">
        <f>IF(ROW()-1&gt;SUM(Floors!$E$2:$E$201), "", INDEX(Floors!$D$2:$D$201, IFERROR(MATCH(ROW()-1-0.0001, Floors!$L$2:$L$201, 1), 0)+1))</f>
        <v/>
      </c>
      <c r="M94" s="15">
        <f>IF(ROW()-1&gt;SUM(Floors!$E$2:$E$201), "", INDEX(Floors!$K$2:$K$201, IFERROR(MATCH(ROW()-1-0.0001, Floors!$L$2:$L$201, 1), 0)+1))</f>
        <v/>
      </c>
    </row>
    <row r="95">
      <c r="A95" s="6">
        <f>IF(J95="","",IF(J95=J94,"",J95))</f>
        <v/>
      </c>
      <c r="B95" s="6">
        <f>IF(K95="","",IF(K95=K94,"",K95))</f>
        <v/>
      </c>
      <c r="C95" s="5">
        <f>IF(L95="","",IF(L95=L94,"",L95))</f>
        <v/>
      </c>
      <c r="D95" s="6">
        <f>IF(L95="","", SUBSTITUTE(M95," Floor","") &amp; " " &amp; CHOOSE(MIN((ROW()-1)-IFERROR(INDEX(Floors!$L$2:$L$201, MATCH(ROW()-1-0.0001, Floors!$L$2:$L$201, 1)), 0), 4), "North", "South", "East", "West"))</f>
        <v/>
      </c>
      <c r="E95" s="12" t="n"/>
      <c r="F95" s="12" t="n"/>
      <c r="G95" s="12" t="n"/>
      <c r="H95" s="16" t="n"/>
      <c r="I95" s="16" t="n"/>
      <c r="J95" s="15">
        <f>IF(ROW()-1&gt;SUM(Floors!$E$2:$E$201), "", INDEX(Floors!$F$2:$F$201, IFERROR(MATCH(ROW()-1-0.0001, Floors!$L$2:$L$201, 1), 0)+1))</f>
        <v/>
      </c>
      <c r="K95" s="15">
        <f>IF(ROW()-1&gt;SUM(Floors!$E$2:$E$201), "", INDEX(Floors!$H$2:$H$201, IFERROR(MATCH(ROW()-1-0.0001, Floors!$L$2:$L$201, 1), 0)+1))</f>
        <v/>
      </c>
      <c r="L95" s="14">
        <f>IF(ROW()-1&gt;SUM(Floors!$E$2:$E$201), "", INDEX(Floors!$D$2:$D$201, IFERROR(MATCH(ROW()-1-0.0001, Floors!$L$2:$L$201, 1), 0)+1))</f>
        <v/>
      </c>
      <c r="M95" s="15">
        <f>IF(ROW()-1&gt;SUM(Floors!$E$2:$E$201), "", INDEX(Floors!$K$2:$K$201, IFERROR(MATCH(ROW()-1-0.0001, Floors!$L$2:$L$201, 1), 0)+1))</f>
        <v/>
      </c>
    </row>
    <row r="96">
      <c r="A96" s="6">
        <f>IF(J96="","",IF(J96=J95,"",J96))</f>
        <v/>
      </c>
      <c r="B96" s="6">
        <f>IF(K96="","",IF(K96=K95,"",K96))</f>
        <v/>
      </c>
      <c r="C96" s="5">
        <f>IF(L96="","",IF(L96=L95,"",L96))</f>
        <v/>
      </c>
      <c r="D96" s="6">
        <f>IF(L96="","", SUBSTITUTE(M96," Floor","") &amp; " " &amp; CHOOSE(MIN((ROW()-1)-IFERROR(INDEX(Floors!$L$2:$L$201, MATCH(ROW()-1-0.0001, Floors!$L$2:$L$201, 1)), 0), 4), "North", "South", "East", "West"))</f>
        <v/>
      </c>
      <c r="E96" s="12" t="n"/>
      <c r="F96" s="12" t="n"/>
      <c r="G96" s="12" t="n"/>
      <c r="H96" s="16" t="n"/>
      <c r="I96" s="16" t="n"/>
      <c r="J96" s="15">
        <f>IF(ROW()-1&gt;SUM(Floors!$E$2:$E$201), "", INDEX(Floors!$F$2:$F$201, IFERROR(MATCH(ROW()-1-0.0001, Floors!$L$2:$L$201, 1), 0)+1))</f>
        <v/>
      </c>
      <c r="K96" s="15">
        <f>IF(ROW()-1&gt;SUM(Floors!$E$2:$E$201), "", INDEX(Floors!$H$2:$H$201, IFERROR(MATCH(ROW()-1-0.0001, Floors!$L$2:$L$201, 1), 0)+1))</f>
        <v/>
      </c>
      <c r="L96" s="14">
        <f>IF(ROW()-1&gt;SUM(Floors!$E$2:$E$201), "", INDEX(Floors!$D$2:$D$201, IFERROR(MATCH(ROW()-1-0.0001, Floors!$L$2:$L$201, 1), 0)+1))</f>
        <v/>
      </c>
      <c r="M96" s="15">
        <f>IF(ROW()-1&gt;SUM(Floors!$E$2:$E$201), "", INDEX(Floors!$K$2:$K$201, IFERROR(MATCH(ROW()-1-0.0001, Floors!$L$2:$L$201, 1), 0)+1))</f>
        <v/>
      </c>
    </row>
    <row r="97">
      <c r="A97" s="6">
        <f>IF(J97="","",IF(J97=J96,"",J97))</f>
        <v/>
      </c>
      <c r="B97" s="6">
        <f>IF(K97="","",IF(K97=K96,"",K97))</f>
        <v/>
      </c>
      <c r="C97" s="5">
        <f>IF(L97="","",IF(L97=L96,"",L97))</f>
        <v/>
      </c>
      <c r="D97" s="6">
        <f>IF(L97="","", SUBSTITUTE(M97," Floor","") &amp; " " &amp; CHOOSE(MIN((ROW()-1)-IFERROR(INDEX(Floors!$L$2:$L$201, MATCH(ROW()-1-0.0001, Floors!$L$2:$L$201, 1)), 0), 4), "North", "South", "East", "West"))</f>
        <v/>
      </c>
      <c r="E97" s="12" t="n"/>
      <c r="F97" s="12" t="n"/>
      <c r="G97" s="12" t="n"/>
      <c r="H97" s="16" t="n"/>
      <c r="I97" s="16" t="n"/>
      <c r="J97" s="15">
        <f>IF(ROW()-1&gt;SUM(Floors!$E$2:$E$201), "", INDEX(Floors!$F$2:$F$201, IFERROR(MATCH(ROW()-1-0.0001, Floors!$L$2:$L$201, 1), 0)+1))</f>
        <v/>
      </c>
      <c r="K97" s="15">
        <f>IF(ROW()-1&gt;SUM(Floors!$E$2:$E$201), "", INDEX(Floors!$H$2:$H$201, IFERROR(MATCH(ROW()-1-0.0001, Floors!$L$2:$L$201, 1), 0)+1))</f>
        <v/>
      </c>
      <c r="L97" s="14">
        <f>IF(ROW()-1&gt;SUM(Floors!$E$2:$E$201), "", INDEX(Floors!$D$2:$D$201, IFERROR(MATCH(ROW()-1-0.0001, Floors!$L$2:$L$201, 1), 0)+1))</f>
        <v/>
      </c>
      <c r="M97" s="15">
        <f>IF(ROW()-1&gt;SUM(Floors!$E$2:$E$201), "", INDEX(Floors!$K$2:$K$201, IFERROR(MATCH(ROW()-1-0.0001, Floors!$L$2:$L$201, 1), 0)+1))</f>
        <v/>
      </c>
    </row>
    <row r="98">
      <c r="A98" s="6">
        <f>IF(J98="","",IF(J98=J97,"",J98))</f>
        <v/>
      </c>
      <c r="B98" s="6">
        <f>IF(K98="","",IF(K98=K97,"",K98))</f>
        <v/>
      </c>
      <c r="C98" s="5">
        <f>IF(L98="","",IF(L98=L97,"",L98))</f>
        <v/>
      </c>
      <c r="D98" s="6">
        <f>IF(L98="","", SUBSTITUTE(M98," Floor","") &amp; " " &amp; CHOOSE(MIN((ROW()-1)-IFERROR(INDEX(Floors!$L$2:$L$201, MATCH(ROW()-1-0.0001, Floors!$L$2:$L$201, 1)), 0), 4), "North", "South", "East", "West"))</f>
        <v/>
      </c>
      <c r="E98" s="12" t="n"/>
      <c r="F98" s="12" t="n"/>
      <c r="G98" s="12" t="n"/>
      <c r="H98" s="16" t="n"/>
      <c r="I98" s="16" t="n"/>
      <c r="J98" s="15">
        <f>IF(ROW()-1&gt;SUM(Floors!$E$2:$E$201), "", INDEX(Floors!$F$2:$F$201, IFERROR(MATCH(ROW()-1-0.0001, Floors!$L$2:$L$201, 1), 0)+1))</f>
        <v/>
      </c>
      <c r="K98" s="15">
        <f>IF(ROW()-1&gt;SUM(Floors!$E$2:$E$201), "", INDEX(Floors!$H$2:$H$201, IFERROR(MATCH(ROW()-1-0.0001, Floors!$L$2:$L$201, 1), 0)+1))</f>
        <v/>
      </c>
      <c r="L98" s="14">
        <f>IF(ROW()-1&gt;SUM(Floors!$E$2:$E$201), "", INDEX(Floors!$D$2:$D$201, IFERROR(MATCH(ROW()-1-0.0001, Floors!$L$2:$L$201, 1), 0)+1))</f>
        <v/>
      </c>
      <c r="M98" s="15">
        <f>IF(ROW()-1&gt;SUM(Floors!$E$2:$E$201), "", INDEX(Floors!$K$2:$K$201, IFERROR(MATCH(ROW()-1-0.0001, Floors!$L$2:$L$201, 1), 0)+1))</f>
        <v/>
      </c>
    </row>
    <row r="99">
      <c r="A99" s="6">
        <f>IF(J99="","",IF(J99=J98,"",J99))</f>
        <v/>
      </c>
      <c r="B99" s="6">
        <f>IF(K99="","",IF(K99=K98,"",K99))</f>
        <v/>
      </c>
      <c r="C99" s="5">
        <f>IF(L99="","",IF(L99=L98,"",L99))</f>
        <v/>
      </c>
      <c r="D99" s="6">
        <f>IF(L99="","", SUBSTITUTE(M99," Floor","") &amp; " " &amp; CHOOSE(MIN((ROW()-1)-IFERROR(INDEX(Floors!$L$2:$L$201, MATCH(ROW()-1-0.0001, Floors!$L$2:$L$201, 1)), 0), 4), "North", "South", "East", "West"))</f>
        <v/>
      </c>
      <c r="E99" s="12" t="n"/>
      <c r="F99" s="12" t="n"/>
      <c r="G99" s="12" t="n"/>
      <c r="H99" s="16" t="n"/>
      <c r="I99" s="16" t="n"/>
      <c r="J99" s="15">
        <f>IF(ROW()-1&gt;SUM(Floors!$E$2:$E$201), "", INDEX(Floors!$F$2:$F$201, IFERROR(MATCH(ROW()-1-0.0001, Floors!$L$2:$L$201, 1), 0)+1))</f>
        <v/>
      </c>
      <c r="K99" s="15">
        <f>IF(ROW()-1&gt;SUM(Floors!$E$2:$E$201), "", INDEX(Floors!$H$2:$H$201, IFERROR(MATCH(ROW()-1-0.0001, Floors!$L$2:$L$201, 1), 0)+1))</f>
        <v/>
      </c>
      <c r="L99" s="14">
        <f>IF(ROW()-1&gt;SUM(Floors!$E$2:$E$201), "", INDEX(Floors!$D$2:$D$201, IFERROR(MATCH(ROW()-1-0.0001, Floors!$L$2:$L$201, 1), 0)+1))</f>
        <v/>
      </c>
      <c r="M99" s="15">
        <f>IF(ROW()-1&gt;SUM(Floors!$E$2:$E$201), "", INDEX(Floors!$K$2:$K$201, IFERROR(MATCH(ROW()-1-0.0001, Floors!$L$2:$L$201, 1), 0)+1))</f>
        <v/>
      </c>
    </row>
    <row r="100">
      <c r="A100" s="6">
        <f>IF(J100="","",IF(J100=J99,"",J100))</f>
        <v/>
      </c>
      <c r="B100" s="6">
        <f>IF(K100="","",IF(K100=K99,"",K100))</f>
        <v/>
      </c>
      <c r="C100" s="5">
        <f>IF(L100="","",IF(L100=L99,"",L100))</f>
        <v/>
      </c>
      <c r="D100" s="6">
        <f>IF(L100="","", SUBSTITUTE(M100," Floor","") &amp; " " &amp; CHOOSE(MIN((ROW()-1)-IFERROR(INDEX(Floors!$L$2:$L$201, MATCH(ROW()-1-0.0001, Floors!$L$2:$L$201, 1)), 0), 4), "North", "South", "East", "West"))</f>
        <v/>
      </c>
      <c r="E100" s="12" t="n"/>
      <c r="F100" s="12" t="n"/>
      <c r="G100" s="12" t="n"/>
      <c r="H100" s="16" t="n"/>
      <c r="I100" s="16" t="n"/>
      <c r="J100" s="15">
        <f>IF(ROW()-1&gt;SUM(Floors!$E$2:$E$201), "", INDEX(Floors!$F$2:$F$201, IFERROR(MATCH(ROW()-1-0.0001, Floors!$L$2:$L$201, 1), 0)+1))</f>
        <v/>
      </c>
      <c r="K100" s="15">
        <f>IF(ROW()-1&gt;SUM(Floors!$E$2:$E$201), "", INDEX(Floors!$H$2:$H$201, IFERROR(MATCH(ROW()-1-0.0001, Floors!$L$2:$L$201, 1), 0)+1))</f>
        <v/>
      </c>
      <c r="L100" s="14">
        <f>IF(ROW()-1&gt;SUM(Floors!$E$2:$E$201), "", INDEX(Floors!$D$2:$D$201, IFERROR(MATCH(ROW()-1-0.0001, Floors!$L$2:$L$201, 1), 0)+1))</f>
        <v/>
      </c>
      <c r="M100" s="15">
        <f>IF(ROW()-1&gt;SUM(Floors!$E$2:$E$201), "", INDEX(Floors!$K$2:$K$201, IFERROR(MATCH(ROW()-1-0.0001, Floors!$L$2:$L$201, 1), 0)+1))</f>
        <v/>
      </c>
    </row>
    <row r="101">
      <c r="A101" s="6">
        <f>IF(J101="","",IF(J101=J100,"",J101))</f>
        <v/>
      </c>
      <c r="B101" s="6">
        <f>IF(K101="","",IF(K101=K100,"",K101))</f>
        <v/>
      </c>
      <c r="C101" s="5">
        <f>IF(L101="","",IF(L101=L100,"",L101))</f>
        <v/>
      </c>
      <c r="D101" s="6">
        <f>IF(L101="","", SUBSTITUTE(M101," Floor","") &amp; " " &amp; CHOOSE(MIN((ROW()-1)-IFERROR(INDEX(Floors!$L$2:$L$201, MATCH(ROW()-1-0.0001, Floors!$L$2:$L$201, 1)), 0), 4), "North", "South", "East", "West"))</f>
        <v/>
      </c>
      <c r="E101" s="12" t="n"/>
      <c r="F101" s="12" t="n"/>
      <c r="G101" s="12" t="n"/>
      <c r="H101" s="16" t="n"/>
      <c r="I101" s="16" t="n"/>
      <c r="J101" s="15">
        <f>IF(ROW()-1&gt;SUM(Floors!$E$2:$E$201), "", INDEX(Floors!$F$2:$F$201, IFERROR(MATCH(ROW()-1-0.0001, Floors!$L$2:$L$201, 1), 0)+1))</f>
        <v/>
      </c>
      <c r="K101" s="15">
        <f>IF(ROW()-1&gt;SUM(Floors!$E$2:$E$201), "", INDEX(Floors!$H$2:$H$201, IFERROR(MATCH(ROW()-1-0.0001, Floors!$L$2:$L$201, 1), 0)+1))</f>
        <v/>
      </c>
      <c r="L101" s="14">
        <f>IF(ROW()-1&gt;SUM(Floors!$E$2:$E$201), "", INDEX(Floors!$D$2:$D$201, IFERROR(MATCH(ROW()-1-0.0001, Floors!$L$2:$L$201, 1), 0)+1))</f>
        <v/>
      </c>
      <c r="M101" s="15">
        <f>IF(ROW()-1&gt;SUM(Floors!$E$2:$E$201), "", INDEX(Floors!$K$2:$K$201, IFERROR(MATCH(ROW()-1-0.0001, Floors!$L$2:$L$201, 1), 0)+1))</f>
        <v/>
      </c>
    </row>
    <row r="102">
      <c r="A102" s="6">
        <f>IF(J102="","",IF(J102=J101,"",J102))</f>
        <v/>
      </c>
      <c r="B102" s="6">
        <f>IF(K102="","",IF(K102=K101,"",K102))</f>
        <v/>
      </c>
      <c r="C102" s="5">
        <f>IF(L102="","",IF(L102=L101,"",L102))</f>
        <v/>
      </c>
      <c r="D102" s="6">
        <f>IF(L102="","", SUBSTITUTE(M102," Floor","") &amp; " " &amp; CHOOSE(MIN((ROW()-1)-IFERROR(INDEX(Floors!$L$2:$L$201, MATCH(ROW()-1-0.0001, Floors!$L$2:$L$201, 1)), 0), 4), "North", "South", "East", "West"))</f>
        <v/>
      </c>
      <c r="E102" s="12" t="n"/>
      <c r="F102" s="12" t="n"/>
      <c r="G102" s="12" t="n"/>
      <c r="H102" s="16" t="n"/>
      <c r="I102" s="16" t="n"/>
      <c r="J102" s="15">
        <f>IF(ROW()-1&gt;SUM(Floors!$E$2:$E$201), "", INDEX(Floors!$F$2:$F$201, IFERROR(MATCH(ROW()-1-0.0001, Floors!$L$2:$L$201, 1), 0)+1))</f>
        <v/>
      </c>
      <c r="K102" s="15">
        <f>IF(ROW()-1&gt;SUM(Floors!$E$2:$E$201), "", INDEX(Floors!$H$2:$H$201, IFERROR(MATCH(ROW()-1-0.0001, Floors!$L$2:$L$201, 1), 0)+1))</f>
        <v/>
      </c>
      <c r="L102" s="14">
        <f>IF(ROW()-1&gt;SUM(Floors!$E$2:$E$201), "", INDEX(Floors!$D$2:$D$201, IFERROR(MATCH(ROW()-1-0.0001, Floors!$L$2:$L$201, 1), 0)+1))</f>
        <v/>
      </c>
      <c r="M102" s="15">
        <f>IF(ROW()-1&gt;SUM(Floors!$E$2:$E$201), "", INDEX(Floors!$K$2:$K$201, IFERROR(MATCH(ROW()-1-0.0001, Floors!$L$2:$L$201, 1), 0)+1))</f>
        <v/>
      </c>
    </row>
    <row r="103">
      <c r="A103" s="6">
        <f>IF(J103="","",IF(J103=J102,"",J103))</f>
        <v/>
      </c>
      <c r="B103" s="6">
        <f>IF(K103="","",IF(K103=K102,"",K103))</f>
        <v/>
      </c>
      <c r="C103" s="5">
        <f>IF(L103="","",IF(L103=L102,"",L103))</f>
        <v/>
      </c>
      <c r="D103" s="6">
        <f>IF(L103="","", SUBSTITUTE(M103," Floor","") &amp; " " &amp; CHOOSE(MIN((ROW()-1)-IFERROR(INDEX(Floors!$L$2:$L$201, MATCH(ROW()-1-0.0001, Floors!$L$2:$L$201, 1)), 0), 4), "North", "South", "East", "West"))</f>
        <v/>
      </c>
      <c r="E103" s="12" t="n"/>
      <c r="F103" s="12" t="n"/>
      <c r="G103" s="12" t="n"/>
      <c r="H103" s="16" t="n"/>
      <c r="I103" s="16" t="n"/>
      <c r="J103" s="15">
        <f>IF(ROW()-1&gt;SUM(Floors!$E$2:$E$201), "", INDEX(Floors!$F$2:$F$201, IFERROR(MATCH(ROW()-1-0.0001, Floors!$L$2:$L$201, 1), 0)+1))</f>
        <v/>
      </c>
      <c r="K103" s="15">
        <f>IF(ROW()-1&gt;SUM(Floors!$E$2:$E$201), "", INDEX(Floors!$H$2:$H$201, IFERROR(MATCH(ROW()-1-0.0001, Floors!$L$2:$L$201, 1), 0)+1))</f>
        <v/>
      </c>
      <c r="L103" s="14">
        <f>IF(ROW()-1&gt;SUM(Floors!$E$2:$E$201), "", INDEX(Floors!$D$2:$D$201, IFERROR(MATCH(ROW()-1-0.0001, Floors!$L$2:$L$201, 1), 0)+1))</f>
        <v/>
      </c>
      <c r="M103" s="15">
        <f>IF(ROW()-1&gt;SUM(Floors!$E$2:$E$201), "", INDEX(Floors!$K$2:$K$201, IFERROR(MATCH(ROW()-1-0.0001, Floors!$L$2:$L$201, 1), 0)+1))</f>
        <v/>
      </c>
    </row>
    <row r="104">
      <c r="A104" s="6">
        <f>IF(J104="","",IF(J104=J103,"",J104))</f>
        <v/>
      </c>
      <c r="B104" s="6">
        <f>IF(K104="","",IF(K104=K103,"",K104))</f>
        <v/>
      </c>
      <c r="C104" s="5">
        <f>IF(L104="","",IF(L104=L103,"",L104))</f>
        <v/>
      </c>
      <c r="D104" s="6">
        <f>IF(L104="","", SUBSTITUTE(M104," Floor","") &amp; " " &amp; CHOOSE(MIN((ROW()-1)-IFERROR(INDEX(Floors!$L$2:$L$201, MATCH(ROW()-1-0.0001, Floors!$L$2:$L$201, 1)), 0), 4), "North", "South", "East", "West"))</f>
        <v/>
      </c>
      <c r="E104" s="12" t="n"/>
      <c r="F104" s="12" t="n"/>
      <c r="G104" s="12" t="n"/>
      <c r="H104" s="16" t="n"/>
      <c r="I104" s="16" t="n"/>
      <c r="J104" s="15">
        <f>IF(ROW()-1&gt;SUM(Floors!$E$2:$E$201), "", INDEX(Floors!$F$2:$F$201, IFERROR(MATCH(ROW()-1-0.0001, Floors!$L$2:$L$201, 1), 0)+1))</f>
        <v/>
      </c>
      <c r="K104" s="15">
        <f>IF(ROW()-1&gt;SUM(Floors!$E$2:$E$201), "", INDEX(Floors!$H$2:$H$201, IFERROR(MATCH(ROW()-1-0.0001, Floors!$L$2:$L$201, 1), 0)+1))</f>
        <v/>
      </c>
      <c r="L104" s="14">
        <f>IF(ROW()-1&gt;SUM(Floors!$E$2:$E$201), "", INDEX(Floors!$D$2:$D$201, IFERROR(MATCH(ROW()-1-0.0001, Floors!$L$2:$L$201, 1), 0)+1))</f>
        <v/>
      </c>
      <c r="M104" s="15">
        <f>IF(ROW()-1&gt;SUM(Floors!$E$2:$E$201), "", INDEX(Floors!$K$2:$K$201, IFERROR(MATCH(ROW()-1-0.0001, Floors!$L$2:$L$201, 1), 0)+1))</f>
        <v/>
      </c>
    </row>
    <row r="105">
      <c r="A105" s="6">
        <f>IF(J105="","",IF(J105=J104,"",J105))</f>
        <v/>
      </c>
      <c r="B105" s="6">
        <f>IF(K105="","",IF(K105=K104,"",K105))</f>
        <v/>
      </c>
      <c r="C105" s="5">
        <f>IF(L105="","",IF(L105=L104,"",L105))</f>
        <v/>
      </c>
      <c r="D105" s="6">
        <f>IF(L105="","", SUBSTITUTE(M105," Floor","") &amp; " " &amp; CHOOSE(MIN((ROW()-1)-IFERROR(INDEX(Floors!$L$2:$L$201, MATCH(ROW()-1-0.0001, Floors!$L$2:$L$201, 1)), 0), 4), "North", "South", "East", "West"))</f>
        <v/>
      </c>
      <c r="E105" s="12" t="n"/>
      <c r="F105" s="12" t="n"/>
      <c r="G105" s="12" t="n"/>
      <c r="H105" s="16" t="n"/>
      <c r="I105" s="16" t="n"/>
      <c r="J105" s="15">
        <f>IF(ROW()-1&gt;SUM(Floors!$E$2:$E$201), "", INDEX(Floors!$F$2:$F$201, IFERROR(MATCH(ROW()-1-0.0001, Floors!$L$2:$L$201, 1), 0)+1))</f>
        <v/>
      </c>
      <c r="K105" s="15">
        <f>IF(ROW()-1&gt;SUM(Floors!$E$2:$E$201), "", INDEX(Floors!$H$2:$H$201, IFERROR(MATCH(ROW()-1-0.0001, Floors!$L$2:$L$201, 1), 0)+1))</f>
        <v/>
      </c>
      <c r="L105" s="14">
        <f>IF(ROW()-1&gt;SUM(Floors!$E$2:$E$201), "", INDEX(Floors!$D$2:$D$201, IFERROR(MATCH(ROW()-1-0.0001, Floors!$L$2:$L$201, 1), 0)+1))</f>
        <v/>
      </c>
      <c r="M105" s="15">
        <f>IF(ROW()-1&gt;SUM(Floors!$E$2:$E$201), "", INDEX(Floors!$K$2:$K$201, IFERROR(MATCH(ROW()-1-0.0001, Floors!$L$2:$L$201, 1), 0)+1))</f>
        <v/>
      </c>
    </row>
    <row r="106">
      <c r="A106" s="6">
        <f>IF(J106="","",IF(J106=J105,"",J106))</f>
        <v/>
      </c>
      <c r="B106" s="6">
        <f>IF(K106="","",IF(K106=K105,"",K106))</f>
        <v/>
      </c>
      <c r="C106" s="5">
        <f>IF(L106="","",IF(L106=L105,"",L106))</f>
        <v/>
      </c>
      <c r="D106" s="6">
        <f>IF(L106="","", SUBSTITUTE(M106," Floor","") &amp; " " &amp; CHOOSE(MIN((ROW()-1)-IFERROR(INDEX(Floors!$L$2:$L$201, MATCH(ROW()-1-0.0001, Floors!$L$2:$L$201, 1)), 0), 4), "North", "South", "East", "West"))</f>
        <v/>
      </c>
      <c r="E106" s="12" t="n"/>
      <c r="F106" s="12" t="n"/>
      <c r="G106" s="12" t="n"/>
      <c r="H106" s="16" t="n"/>
      <c r="I106" s="16" t="n"/>
      <c r="J106" s="15">
        <f>IF(ROW()-1&gt;SUM(Floors!$E$2:$E$201), "", INDEX(Floors!$F$2:$F$201, IFERROR(MATCH(ROW()-1-0.0001, Floors!$L$2:$L$201, 1), 0)+1))</f>
        <v/>
      </c>
      <c r="K106" s="15">
        <f>IF(ROW()-1&gt;SUM(Floors!$E$2:$E$201), "", INDEX(Floors!$H$2:$H$201, IFERROR(MATCH(ROW()-1-0.0001, Floors!$L$2:$L$201, 1), 0)+1))</f>
        <v/>
      </c>
      <c r="L106" s="14">
        <f>IF(ROW()-1&gt;SUM(Floors!$E$2:$E$201), "", INDEX(Floors!$D$2:$D$201, IFERROR(MATCH(ROW()-1-0.0001, Floors!$L$2:$L$201, 1), 0)+1))</f>
        <v/>
      </c>
      <c r="M106" s="15">
        <f>IF(ROW()-1&gt;SUM(Floors!$E$2:$E$201), "", INDEX(Floors!$K$2:$K$201, IFERROR(MATCH(ROW()-1-0.0001, Floors!$L$2:$L$201, 1), 0)+1))</f>
        <v/>
      </c>
    </row>
    <row r="107">
      <c r="A107" s="6">
        <f>IF(J107="","",IF(J107=J106,"",J107))</f>
        <v/>
      </c>
      <c r="B107" s="6">
        <f>IF(K107="","",IF(K107=K106,"",K107))</f>
        <v/>
      </c>
      <c r="C107" s="5">
        <f>IF(L107="","",IF(L107=L106,"",L107))</f>
        <v/>
      </c>
      <c r="D107" s="6">
        <f>IF(L107="","", SUBSTITUTE(M107," Floor","") &amp; " " &amp; CHOOSE(MIN((ROW()-1)-IFERROR(INDEX(Floors!$L$2:$L$201, MATCH(ROW()-1-0.0001, Floors!$L$2:$L$201, 1)), 0), 4), "North", "South", "East", "West"))</f>
        <v/>
      </c>
      <c r="E107" s="12" t="n"/>
      <c r="F107" s="12" t="n"/>
      <c r="G107" s="12" t="n"/>
      <c r="H107" s="16" t="n"/>
      <c r="I107" s="16" t="n"/>
      <c r="J107" s="15">
        <f>IF(ROW()-1&gt;SUM(Floors!$E$2:$E$201), "", INDEX(Floors!$F$2:$F$201, IFERROR(MATCH(ROW()-1-0.0001, Floors!$L$2:$L$201, 1), 0)+1))</f>
        <v/>
      </c>
      <c r="K107" s="15">
        <f>IF(ROW()-1&gt;SUM(Floors!$E$2:$E$201), "", INDEX(Floors!$H$2:$H$201, IFERROR(MATCH(ROW()-1-0.0001, Floors!$L$2:$L$201, 1), 0)+1))</f>
        <v/>
      </c>
      <c r="L107" s="14">
        <f>IF(ROW()-1&gt;SUM(Floors!$E$2:$E$201), "", INDEX(Floors!$D$2:$D$201, IFERROR(MATCH(ROW()-1-0.0001, Floors!$L$2:$L$201, 1), 0)+1))</f>
        <v/>
      </c>
      <c r="M107" s="15">
        <f>IF(ROW()-1&gt;SUM(Floors!$E$2:$E$201), "", INDEX(Floors!$K$2:$K$201, IFERROR(MATCH(ROW()-1-0.0001, Floors!$L$2:$L$201, 1), 0)+1))</f>
        <v/>
      </c>
    </row>
    <row r="108">
      <c r="A108" s="6">
        <f>IF(J108="","",IF(J108=J107,"",J108))</f>
        <v/>
      </c>
      <c r="B108" s="6">
        <f>IF(K108="","",IF(K108=K107,"",K108))</f>
        <v/>
      </c>
      <c r="C108" s="5">
        <f>IF(L108="","",IF(L108=L107,"",L108))</f>
        <v/>
      </c>
      <c r="D108" s="6">
        <f>IF(L108="","", SUBSTITUTE(M108," Floor","") &amp; " " &amp; CHOOSE(MIN((ROW()-1)-IFERROR(INDEX(Floors!$L$2:$L$201, MATCH(ROW()-1-0.0001, Floors!$L$2:$L$201, 1)), 0), 4), "North", "South", "East", "West"))</f>
        <v/>
      </c>
      <c r="E108" s="12" t="n"/>
      <c r="F108" s="12" t="n"/>
      <c r="G108" s="12" t="n"/>
      <c r="H108" s="16" t="n"/>
      <c r="I108" s="16" t="n"/>
      <c r="J108" s="15">
        <f>IF(ROW()-1&gt;SUM(Floors!$E$2:$E$201), "", INDEX(Floors!$F$2:$F$201, IFERROR(MATCH(ROW()-1-0.0001, Floors!$L$2:$L$201, 1), 0)+1))</f>
        <v/>
      </c>
      <c r="K108" s="15">
        <f>IF(ROW()-1&gt;SUM(Floors!$E$2:$E$201), "", INDEX(Floors!$H$2:$H$201, IFERROR(MATCH(ROW()-1-0.0001, Floors!$L$2:$L$201, 1), 0)+1))</f>
        <v/>
      </c>
      <c r="L108" s="14">
        <f>IF(ROW()-1&gt;SUM(Floors!$E$2:$E$201), "", INDEX(Floors!$D$2:$D$201, IFERROR(MATCH(ROW()-1-0.0001, Floors!$L$2:$L$201, 1), 0)+1))</f>
        <v/>
      </c>
      <c r="M108" s="15">
        <f>IF(ROW()-1&gt;SUM(Floors!$E$2:$E$201), "", INDEX(Floors!$K$2:$K$201, IFERROR(MATCH(ROW()-1-0.0001, Floors!$L$2:$L$201, 1), 0)+1))</f>
        <v/>
      </c>
    </row>
    <row r="109">
      <c r="A109" s="6">
        <f>IF(J109="","",IF(J109=J108,"",J109))</f>
        <v/>
      </c>
      <c r="B109" s="6">
        <f>IF(K109="","",IF(K109=K108,"",K109))</f>
        <v/>
      </c>
      <c r="C109" s="5">
        <f>IF(L109="","",IF(L109=L108,"",L109))</f>
        <v/>
      </c>
      <c r="D109" s="6">
        <f>IF(L109="","", SUBSTITUTE(M109," Floor","") &amp; " " &amp; CHOOSE(MIN((ROW()-1)-IFERROR(INDEX(Floors!$L$2:$L$201, MATCH(ROW()-1-0.0001, Floors!$L$2:$L$201, 1)), 0), 4), "North", "South", "East", "West"))</f>
        <v/>
      </c>
      <c r="E109" s="12" t="n"/>
      <c r="F109" s="12" t="n"/>
      <c r="G109" s="12" t="n"/>
      <c r="H109" s="16" t="n"/>
      <c r="I109" s="16" t="n"/>
      <c r="J109" s="15">
        <f>IF(ROW()-1&gt;SUM(Floors!$E$2:$E$201), "", INDEX(Floors!$F$2:$F$201, IFERROR(MATCH(ROW()-1-0.0001, Floors!$L$2:$L$201, 1), 0)+1))</f>
        <v/>
      </c>
      <c r="K109" s="15">
        <f>IF(ROW()-1&gt;SUM(Floors!$E$2:$E$201), "", INDEX(Floors!$H$2:$H$201, IFERROR(MATCH(ROW()-1-0.0001, Floors!$L$2:$L$201, 1), 0)+1))</f>
        <v/>
      </c>
      <c r="L109" s="14">
        <f>IF(ROW()-1&gt;SUM(Floors!$E$2:$E$201), "", INDEX(Floors!$D$2:$D$201, IFERROR(MATCH(ROW()-1-0.0001, Floors!$L$2:$L$201, 1), 0)+1))</f>
        <v/>
      </c>
      <c r="M109" s="15">
        <f>IF(ROW()-1&gt;SUM(Floors!$E$2:$E$201), "", INDEX(Floors!$K$2:$K$201, IFERROR(MATCH(ROW()-1-0.0001, Floors!$L$2:$L$201, 1), 0)+1))</f>
        <v/>
      </c>
    </row>
    <row r="110">
      <c r="A110" s="6">
        <f>IF(J110="","",IF(J110=J109,"",J110))</f>
        <v/>
      </c>
      <c r="B110" s="6">
        <f>IF(K110="","",IF(K110=K109,"",K110))</f>
        <v/>
      </c>
      <c r="C110" s="5">
        <f>IF(L110="","",IF(L110=L109,"",L110))</f>
        <v/>
      </c>
      <c r="D110" s="6">
        <f>IF(L110="","", SUBSTITUTE(M110," Floor","") &amp; " " &amp; CHOOSE(MIN((ROW()-1)-IFERROR(INDEX(Floors!$L$2:$L$201, MATCH(ROW()-1-0.0001, Floors!$L$2:$L$201, 1)), 0), 4), "North", "South", "East", "West"))</f>
        <v/>
      </c>
      <c r="E110" s="12" t="n"/>
      <c r="F110" s="12" t="n"/>
      <c r="G110" s="12" t="n"/>
      <c r="H110" s="16" t="n"/>
      <c r="I110" s="16" t="n"/>
      <c r="J110" s="15">
        <f>IF(ROW()-1&gt;SUM(Floors!$E$2:$E$201), "", INDEX(Floors!$F$2:$F$201, IFERROR(MATCH(ROW()-1-0.0001, Floors!$L$2:$L$201, 1), 0)+1))</f>
        <v/>
      </c>
      <c r="K110" s="15">
        <f>IF(ROW()-1&gt;SUM(Floors!$E$2:$E$201), "", INDEX(Floors!$H$2:$H$201, IFERROR(MATCH(ROW()-1-0.0001, Floors!$L$2:$L$201, 1), 0)+1))</f>
        <v/>
      </c>
      <c r="L110" s="14">
        <f>IF(ROW()-1&gt;SUM(Floors!$E$2:$E$201), "", INDEX(Floors!$D$2:$D$201, IFERROR(MATCH(ROW()-1-0.0001, Floors!$L$2:$L$201, 1), 0)+1))</f>
        <v/>
      </c>
      <c r="M110" s="15">
        <f>IF(ROW()-1&gt;SUM(Floors!$E$2:$E$201), "", INDEX(Floors!$K$2:$K$201, IFERROR(MATCH(ROW()-1-0.0001, Floors!$L$2:$L$201, 1), 0)+1))</f>
        <v/>
      </c>
    </row>
    <row r="111">
      <c r="A111" s="6">
        <f>IF(J111="","",IF(J111=J110,"",J111))</f>
        <v/>
      </c>
      <c r="B111" s="6">
        <f>IF(K111="","",IF(K111=K110,"",K111))</f>
        <v/>
      </c>
      <c r="C111" s="5">
        <f>IF(L111="","",IF(L111=L110,"",L111))</f>
        <v/>
      </c>
      <c r="D111" s="6">
        <f>IF(L111="","", SUBSTITUTE(M111," Floor","") &amp; " " &amp; CHOOSE(MIN((ROW()-1)-IFERROR(INDEX(Floors!$L$2:$L$201, MATCH(ROW()-1-0.0001, Floors!$L$2:$L$201, 1)), 0), 4), "North", "South", "East", "West"))</f>
        <v/>
      </c>
      <c r="E111" s="12" t="n"/>
      <c r="F111" s="12" t="n"/>
      <c r="G111" s="12" t="n"/>
      <c r="H111" s="16" t="n"/>
      <c r="I111" s="16" t="n"/>
      <c r="J111" s="15">
        <f>IF(ROW()-1&gt;SUM(Floors!$E$2:$E$201), "", INDEX(Floors!$F$2:$F$201, IFERROR(MATCH(ROW()-1-0.0001, Floors!$L$2:$L$201, 1), 0)+1))</f>
        <v/>
      </c>
      <c r="K111" s="15">
        <f>IF(ROW()-1&gt;SUM(Floors!$E$2:$E$201), "", INDEX(Floors!$H$2:$H$201, IFERROR(MATCH(ROW()-1-0.0001, Floors!$L$2:$L$201, 1), 0)+1))</f>
        <v/>
      </c>
      <c r="L111" s="14">
        <f>IF(ROW()-1&gt;SUM(Floors!$E$2:$E$201), "", INDEX(Floors!$D$2:$D$201, IFERROR(MATCH(ROW()-1-0.0001, Floors!$L$2:$L$201, 1), 0)+1))</f>
        <v/>
      </c>
      <c r="M111" s="15">
        <f>IF(ROW()-1&gt;SUM(Floors!$E$2:$E$201), "", INDEX(Floors!$K$2:$K$201, IFERROR(MATCH(ROW()-1-0.0001, Floors!$L$2:$L$201, 1), 0)+1))</f>
        <v/>
      </c>
    </row>
    <row r="112">
      <c r="A112" s="6">
        <f>IF(J112="","",IF(J112=J111,"",J112))</f>
        <v/>
      </c>
      <c r="B112" s="6">
        <f>IF(K112="","",IF(K112=K111,"",K112))</f>
        <v/>
      </c>
      <c r="C112" s="5">
        <f>IF(L112="","",IF(L112=L111,"",L112))</f>
        <v/>
      </c>
      <c r="D112" s="6">
        <f>IF(L112="","", SUBSTITUTE(M112," Floor","") &amp; " " &amp; CHOOSE(MIN((ROW()-1)-IFERROR(INDEX(Floors!$L$2:$L$201, MATCH(ROW()-1-0.0001, Floors!$L$2:$L$201, 1)), 0), 4), "North", "South", "East", "West"))</f>
        <v/>
      </c>
      <c r="E112" s="12" t="n"/>
      <c r="F112" s="12" t="n"/>
      <c r="G112" s="12" t="n"/>
      <c r="H112" s="16" t="n"/>
      <c r="I112" s="16" t="n"/>
      <c r="J112" s="15">
        <f>IF(ROW()-1&gt;SUM(Floors!$E$2:$E$201), "", INDEX(Floors!$F$2:$F$201, IFERROR(MATCH(ROW()-1-0.0001, Floors!$L$2:$L$201, 1), 0)+1))</f>
        <v/>
      </c>
      <c r="K112" s="15">
        <f>IF(ROW()-1&gt;SUM(Floors!$E$2:$E$201), "", INDEX(Floors!$H$2:$H$201, IFERROR(MATCH(ROW()-1-0.0001, Floors!$L$2:$L$201, 1), 0)+1))</f>
        <v/>
      </c>
      <c r="L112" s="14">
        <f>IF(ROW()-1&gt;SUM(Floors!$E$2:$E$201), "", INDEX(Floors!$D$2:$D$201, IFERROR(MATCH(ROW()-1-0.0001, Floors!$L$2:$L$201, 1), 0)+1))</f>
        <v/>
      </c>
      <c r="M112" s="15">
        <f>IF(ROW()-1&gt;SUM(Floors!$E$2:$E$201), "", INDEX(Floors!$K$2:$K$201, IFERROR(MATCH(ROW()-1-0.0001, Floors!$L$2:$L$201, 1), 0)+1))</f>
        <v/>
      </c>
    </row>
    <row r="113">
      <c r="A113" s="6">
        <f>IF(J113="","",IF(J113=J112,"",J113))</f>
        <v/>
      </c>
      <c r="B113" s="6">
        <f>IF(K113="","",IF(K113=K112,"",K113))</f>
        <v/>
      </c>
      <c r="C113" s="5">
        <f>IF(L113="","",IF(L113=L112,"",L113))</f>
        <v/>
      </c>
      <c r="D113" s="6">
        <f>IF(L113="","", SUBSTITUTE(M113," Floor","") &amp; " " &amp; CHOOSE(MIN((ROW()-1)-IFERROR(INDEX(Floors!$L$2:$L$201, MATCH(ROW()-1-0.0001, Floors!$L$2:$L$201, 1)), 0), 4), "North", "South", "East", "West"))</f>
        <v/>
      </c>
      <c r="E113" s="12" t="n"/>
      <c r="F113" s="12" t="n"/>
      <c r="G113" s="12" t="n"/>
      <c r="H113" s="16" t="n"/>
      <c r="I113" s="16" t="n"/>
      <c r="J113" s="15">
        <f>IF(ROW()-1&gt;SUM(Floors!$E$2:$E$201), "", INDEX(Floors!$F$2:$F$201, IFERROR(MATCH(ROW()-1-0.0001, Floors!$L$2:$L$201, 1), 0)+1))</f>
        <v/>
      </c>
      <c r="K113" s="15">
        <f>IF(ROW()-1&gt;SUM(Floors!$E$2:$E$201), "", INDEX(Floors!$H$2:$H$201, IFERROR(MATCH(ROW()-1-0.0001, Floors!$L$2:$L$201, 1), 0)+1))</f>
        <v/>
      </c>
      <c r="L113" s="14">
        <f>IF(ROW()-1&gt;SUM(Floors!$E$2:$E$201), "", INDEX(Floors!$D$2:$D$201, IFERROR(MATCH(ROW()-1-0.0001, Floors!$L$2:$L$201, 1), 0)+1))</f>
        <v/>
      </c>
      <c r="M113" s="15">
        <f>IF(ROW()-1&gt;SUM(Floors!$E$2:$E$201), "", INDEX(Floors!$K$2:$K$201, IFERROR(MATCH(ROW()-1-0.0001, Floors!$L$2:$L$201, 1), 0)+1))</f>
        <v/>
      </c>
    </row>
    <row r="114">
      <c r="A114" s="6">
        <f>IF(J114="","",IF(J114=J113,"",J114))</f>
        <v/>
      </c>
      <c r="B114" s="6">
        <f>IF(K114="","",IF(K114=K113,"",K114))</f>
        <v/>
      </c>
      <c r="C114" s="5">
        <f>IF(L114="","",IF(L114=L113,"",L114))</f>
        <v/>
      </c>
      <c r="D114" s="6">
        <f>IF(L114="","", SUBSTITUTE(M114," Floor","") &amp; " " &amp; CHOOSE(MIN((ROW()-1)-IFERROR(INDEX(Floors!$L$2:$L$201, MATCH(ROW()-1-0.0001, Floors!$L$2:$L$201, 1)), 0), 4), "North", "South", "East", "West"))</f>
        <v/>
      </c>
      <c r="E114" s="12" t="n"/>
      <c r="F114" s="12" t="n"/>
      <c r="G114" s="12" t="n"/>
      <c r="H114" s="16" t="n"/>
      <c r="I114" s="16" t="n"/>
      <c r="J114" s="15">
        <f>IF(ROW()-1&gt;SUM(Floors!$E$2:$E$201), "", INDEX(Floors!$F$2:$F$201, IFERROR(MATCH(ROW()-1-0.0001, Floors!$L$2:$L$201, 1), 0)+1))</f>
        <v/>
      </c>
      <c r="K114" s="15">
        <f>IF(ROW()-1&gt;SUM(Floors!$E$2:$E$201), "", INDEX(Floors!$H$2:$H$201, IFERROR(MATCH(ROW()-1-0.0001, Floors!$L$2:$L$201, 1), 0)+1))</f>
        <v/>
      </c>
      <c r="L114" s="14">
        <f>IF(ROW()-1&gt;SUM(Floors!$E$2:$E$201), "", INDEX(Floors!$D$2:$D$201, IFERROR(MATCH(ROW()-1-0.0001, Floors!$L$2:$L$201, 1), 0)+1))</f>
        <v/>
      </c>
      <c r="M114" s="15">
        <f>IF(ROW()-1&gt;SUM(Floors!$E$2:$E$201), "", INDEX(Floors!$K$2:$K$201, IFERROR(MATCH(ROW()-1-0.0001, Floors!$L$2:$L$201, 1), 0)+1))</f>
        <v/>
      </c>
    </row>
    <row r="115">
      <c r="A115" s="6">
        <f>IF(J115="","",IF(J115=J114,"",J115))</f>
        <v/>
      </c>
      <c r="B115" s="6">
        <f>IF(K115="","",IF(K115=K114,"",K115))</f>
        <v/>
      </c>
      <c r="C115" s="5">
        <f>IF(L115="","",IF(L115=L114,"",L115))</f>
        <v/>
      </c>
      <c r="D115" s="6">
        <f>IF(L115="","", SUBSTITUTE(M115," Floor","") &amp; " " &amp; CHOOSE(MIN((ROW()-1)-IFERROR(INDEX(Floors!$L$2:$L$201, MATCH(ROW()-1-0.0001, Floors!$L$2:$L$201, 1)), 0), 4), "North", "South", "East", "West"))</f>
        <v/>
      </c>
      <c r="E115" s="12" t="n"/>
      <c r="F115" s="12" t="n"/>
      <c r="G115" s="12" t="n"/>
      <c r="H115" s="16" t="n"/>
      <c r="I115" s="16" t="n"/>
      <c r="J115" s="15">
        <f>IF(ROW()-1&gt;SUM(Floors!$E$2:$E$201), "", INDEX(Floors!$F$2:$F$201, IFERROR(MATCH(ROW()-1-0.0001, Floors!$L$2:$L$201, 1), 0)+1))</f>
        <v/>
      </c>
      <c r="K115" s="15">
        <f>IF(ROW()-1&gt;SUM(Floors!$E$2:$E$201), "", INDEX(Floors!$H$2:$H$201, IFERROR(MATCH(ROW()-1-0.0001, Floors!$L$2:$L$201, 1), 0)+1))</f>
        <v/>
      </c>
      <c r="L115" s="14">
        <f>IF(ROW()-1&gt;SUM(Floors!$E$2:$E$201), "", INDEX(Floors!$D$2:$D$201, IFERROR(MATCH(ROW()-1-0.0001, Floors!$L$2:$L$201, 1), 0)+1))</f>
        <v/>
      </c>
      <c r="M115" s="15">
        <f>IF(ROW()-1&gt;SUM(Floors!$E$2:$E$201), "", INDEX(Floors!$K$2:$K$201, IFERROR(MATCH(ROW()-1-0.0001, Floors!$L$2:$L$201, 1), 0)+1))</f>
        <v/>
      </c>
    </row>
    <row r="116">
      <c r="A116" s="6">
        <f>IF(J116="","",IF(J116=J115,"",J116))</f>
        <v/>
      </c>
      <c r="B116" s="6">
        <f>IF(K116="","",IF(K116=K115,"",K116))</f>
        <v/>
      </c>
      <c r="C116" s="5">
        <f>IF(L116="","",IF(L116=L115,"",L116))</f>
        <v/>
      </c>
      <c r="D116" s="6">
        <f>IF(L116="","", SUBSTITUTE(M116," Floor","") &amp; " " &amp; CHOOSE(MIN((ROW()-1)-IFERROR(INDEX(Floors!$L$2:$L$201, MATCH(ROW()-1-0.0001, Floors!$L$2:$L$201, 1)), 0), 4), "North", "South", "East", "West"))</f>
        <v/>
      </c>
      <c r="E116" s="12" t="n"/>
      <c r="F116" s="12" t="n"/>
      <c r="G116" s="12" t="n"/>
      <c r="H116" s="16" t="n"/>
      <c r="I116" s="16" t="n"/>
      <c r="J116" s="15">
        <f>IF(ROW()-1&gt;SUM(Floors!$E$2:$E$201), "", INDEX(Floors!$F$2:$F$201, IFERROR(MATCH(ROW()-1-0.0001, Floors!$L$2:$L$201, 1), 0)+1))</f>
        <v/>
      </c>
      <c r="K116" s="15">
        <f>IF(ROW()-1&gt;SUM(Floors!$E$2:$E$201), "", INDEX(Floors!$H$2:$H$201, IFERROR(MATCH(ROW()-1-0.0001, Floors!$L$2:$L$201, 1), 0)+1))</f>
        <v/>
      </c>
      <c r="L116" s="14">
        <f>IF(ROW()-1&gt;SUM(Floors!$E$2:$E$201), "", INDEX(Floors!$D$2:$D$201, IFERROR(MATCH(ROW()-1-0.0001, Floors!$L$2:$L$201, 1), 0)+1))</f>
        <v/>
      </c>
      <c r="M116" s="15">
        <f>IF(ROW()-1&gt;SUM(Floors!$E$2:$E$201), "", INDEX(Floors!$K$2:$K$201, IFERROR(MATCH(ROW()-1-0.0001, Floors!$L$2:$L$201, 1), 0)+1))</f>
        <v/>
      </c>
    </row>
    <row r="117">
      <c r="A117" s="6">
        <f>IF(J117="","",IF(J117=J116,"",J117))</f>
        <v/>
      </c>
      <c r="B117" s="6">
        <f>IF(K117="","",IF(K117=K116,"",K117))</f>
        <v/>
      </c>
      <c r="C117" s="5">
        <f>IF(L117="","",IF(L117=L116,"",L117))</f>
        <v/>
      </c>
      <c r="D117" s="6">
        <f>IF(L117="","", SUBSTITUTE(M117," Floor","") &amp; " " &amp; CHOOSE(MIN((ROW()-1)-IFERROR(INDEX(Floors!$L$2:$L$201, MATCH(ROW()-1-0.0001, Floors!$L$2:$L$201, 1)), 0), 4), "North", "South", "East", "West"))</f>
        <v/>
      </c>
      <c r="E117" s="12" t="n"/>
      <c r="F117" s="12" t="n"/>
      <c r="G117" s="12" t="n"/>
      <c r="H117" s="16" t="n"/>
      <c r="I117" s="16" t="n"/>
      <c r="J117" s="15">
        <f>IF(ROW()-1&gt;SUM(Floors!$E$2:$E$201), "", INDEX(Floors!$F$2:$F$201, IFERROR(MATCH(ROW()-1-0.0001, Floors!$L$2:$L$201, 1), 0)+1))</f>
        <v/>
      </c>
      <c r="K117" s="15">
        <f>IF(ROW()-1&gt;SUM(Floors!$E$2:$E$201), "", INDEX(Floors!$H$2:$H$201, IFERROR(MATCH(ROW()-1-0.0001, Floors!$L$2:$L$201, 1), 0)+1))</f>
        <v/>
      </c>
      <c r="L117" s="14">
        <f>IF(ROW()-1&gt;SUM(Floors!$E$2:$E$201), "", INDEX(Floors!$D$2:$D$201, IFERROR(MATCH(ROW()-1-0.0001, Floors!$L$2:$L$201, 1), 0)+1))</f>
        <v/>
      </c>
      <c r="M117" s="15">
        <f>IF(ROW()-1&gt;SUM(Floors!$E$2:$E$201), "", INDEX(Floors!$K$2:$K$201, IFERROR(MATCH(ROW()-1-0.0001, Floors!$L$2:$L$201, 1), 0)+1))</f>
        <v/>
      </c>
    </row>
    <row r="118">
      <c r="A118" s="6">
        <f>IF(J118="","",IF(J118=J117,"",J118))</f>
        <v/>
      </c>
      <c r="B118" s="6">
        <f>IF(K118="","",IF(K118=K117,"",K118))</f>
        <v/>
      </c>
      <c r="C118" s="5">
        <f>IF(L118="","",IF(L118=L117,"",L118))</f>
        <v/>
      </c>
      <c r="D118" s="6">
        <f>IF(L118="","", SUBSTITUTE(M118," Floor","") &amp; " " &amp; CHOOSE(MIN((ROW()-1)-IFERROR(INDEX(Floors!$L$2:$L$201, MATCH(ROW()-1-0.0001, Floors!$L$2:$L$201, 1)), 0), 4), "North", "South", "East", "West"))</f>
        <v/>
      </c>
      <c r="E118" s="12" t="n"/>
      <c r="F118" s="12" t="n"/>
      <c r="G118" s="12" t="n"/>
      <c r="H118" s="16" t="n"/>
      <c r="I118" s="16" t="n"/>
      <c r="J118" s="15">
        <f>IF(ROW()-1&gt;SUM(Floors!$E$2:$E$201), "", INDEX(Floors!$F$2:$F$201, IFERROR(MATCH(ROW()-1-0.0001, Floors!$L$2:$L$201, 1), 0)+1))</f>
        <v/>
      </c>
      <c r="K118" s="15">
        <f>IF(ROW()-1&gt;SUM(Floors!$E$2:$E$201), "", INDEX(Floors!$H$2:$H$201, IFERROR(MATCH(ROW()-1-0.0001, Floors!$L$2:$L$201, 1), 0)+1))</f>
        <v/>
      </c>
      <c r="L118" s="14">
        <f>IF(ROW()-1&gt;SUM(Floors!$E$2:$E$201), "", INDEX(Floors!$D$2:$D$201, IFERROR(MATCH(ROW()-1-0.0001, Floors!$L$2:$L$201, 1), 0)+1))</f>
        <v/>
      </c>
      <c r="M118" s="15">
        <f>IF(ROW()-1&gt;SUM(Floors!$E$2:$E$201), "", INDEX(Floors!$K$2:$K$201, IFERROR(MATCH(ROW()-1-0.0001, Floors!$L$2:$L$201, 1), 0)+1))</f>
        <v/>
      </c>
    </row>
    <row r="119">
      <c r="A119" s="6">
        <f>IF(J119="","",IF(J119=J118,"",J119))</f>
        <v/>
      </c>
      <c r="B119" s="6">
        <f>IF(K119="","",IF(K119=K118,"",K119))</f>
        <v/>
      </c>
      <c r="C119" s="5">
        <f>IF(L119="","",IF(L119=L118,"",L119))</f>
        <v/>
      </c>
      <c r="D119" s="6">
        <f>IF(L119="","", SUBSTITUTE(M119," Floor","") &amp; " " &amp; CHOOSE(MIN((ROW()-1)-IFERROR(INDEX(Floors!$L$2:$L$201, MATCH(ROW()-1-0.0001, Floors!$L$2:$L$201, 1)), 0), 4), "North", "South", "East", "West"))</f>
        <v/>
      </c>
      <c r="E119" s="12" t="n"/>
      <c r="F119" s="12" t="n"/>
      <c r="G119" s="12" t="n"/>
      <c r="H119" s="16" t="n"/>
      <c r="I119" s="16" t="n"/>
      <c r="J119" s="15">
        <f>IF(ROW()-1&gt;SUM(Floors!$E$2:$E$201), "", INDEX(Floors!$F$2:$F$201, IFERROR(MATCH(ROW()-1-0.0001, Floors!$L$2:$L$201, 1), 0)+1))</f>
        <v/>
      </c>
      <c r="K119" s="15">
        <f>IF(ROW()-1&gt;SUM(Floors!$E$2:$E$201), "", INDEX(Floors!$H$2:$H$201, IFERROR(MATCH(ROW()-1-0.0001, Floors!$L$2:$L$201, 1), 0)+1))</f>
        <v/>
      </c>
      <c r="L119" s="14">
        <f>IF(ROW()-1&gt;SUM(Floors!$E$2:$E$201), "", INDEX(Floors!$D$2:$D$201, IFERROR(MATCH(ROW()-1-0.0001, Floors!$L$2:$L$201, 1), 0)+1))</f>
        <v/>
      </c>
      <c r="M119" s="15">
        <f>IF(ROW()-1&gt;SUM(Floors!$E$2:$E$201), "", INDEX(Floors!$K$2:$K$201, IFERROR(MATCH(ROW()-1-0.0001, Floors!$L$2:$L$201, 1), 0)+1))</f>
        <v/>
      </c>
    </row>
    <row r="120">
      <c r="A120" s="6">
        <f>IF(J120="","",IF(J120=J119,"",J120))</f>
        <v/>
      </c>
      <c r="B120" s="6">
        <f>IF(K120="","",IF(K120=K119,"",K120))</f>
        <v/>
      </c>
      <c r="C120" s="5">
        <f>IF(L120="","",IF(L120=L119,"",L120))</f>
        <v/>
      </c>
      <c r="D120" s="6">
        <f>IF(L120="","", SUBSTITUTE(M120," Floor","") &amp; " " &amp; CHOOSE(MIN((ROW()-1)-IFERROR(INDEX(Floors!$L$2:$L$201, MATCH(ROW()-1-0.0001, Floors!$L$2:$L$201, 1)), 0), 4), "North", "South", "East", "West"))</f>
        <v/>
      </c>
      <c r="E120" s="12" t="n"/>
      <c r="F120" s="12" t="n"/>
      <c r="G120" s="12" t="n"/>
      <c r="H120" s="16" t="n"/>
      <c r="I120" s="16" t="n"/>
      <c r="J120" s="15">
        <f>IF(ROW()-1&gt;SUM(Floors!$E$2:$E$201), "", INDEX(Floors!$F$2:$F$201, IFERROR(MATCH(ROW()-1-0.0001, Floors!$L$2:$L$201, 1), 0)+1))</f>
        <v/>
      </c>
      <c r="K120" s="15">
        <f>IF(ROW()-1&gt;SUM(Floors!$E$2:$E$201), "", INDEX(Floors!$H$2:$H$201, IFERROR(MATCH(ROW()-1-0.0001, Floors!$L$2:$L$201, 1), 0)+1))</f>
        <v/>
      </c>
      <c r="L120" s="14">
        <f>IF(ROW()-1&gt;SUM(Floors!$E$2:$E$201), "", INDEX(Floors!$D$2:$D$201, IFERROR(MATCH(ROW()-1-0.0001, Floors!$L$2:$L$201, 1), 0)+1))</f>
        <v/>
      </c>
      <c r="M120" s="15">
        <f>IF(ROW()-1&gt;SUM(Floors!$E$2:$E$201), "", INDEX(Floors!$K$2:$K$201, IFERROR(MATCH(ROW()-1-0.0001, Floors!$L$2:$L$201, 1), 0)+1))</f>
        <v/>
      </c>
    </row>
    <row r="121">
      <c r="A121" s="6">
        <f>IF(J121="","",IF(J121=J120,"",J121))</f>
        <v/>
      </c>
      <c r="B121" s="6">
        <f>IF(K121="","",IF(K121=K120,"",K121))</f>
        <v/>
      </c>
      <c r="C121" s="5">
        <f>IF(L121="","",IF(L121=L120,"",L121))</f>
        <v/>
      </c>
      <c r="D121" s="6">
        <f>IF(L121="","", SUBSTITUTE(M121," Floor","") &amp; " " &amp; CHOOSE(MIN((ROW()-1)-IFERROR(INDEX(Floors!$L$2:$L$201, MATCH(ROW()-1-0.0001, Floors!$L$2:$L$201, 1)), 0), 4), "North", "South", "East", "West"))</f>
        <v/>
      </c>
      <c r="E121" s="12" t="n"/>
      <c r="F121" s="12" t="n"/>
      <c r="G121" s="12" t="n"/>
      <c r="H121" s="16" t="n"/>
      <c r="I121" s="16" t="n"/>
      <c r="J121" s="15">
        <f>IF(ROW()-1&gt;SUM(Floors!$E$2:$E$201), "", INDEX(Floors!$F$2:$F$201, IFERROR(MATCH(ROW()-1-0.0001, Floors!$L$2:$L$201, 1), 0)+1))</f>
        <v/>
      </c>
      <c r="K121" s="15">
        <f>IF(ROW()-1&gt;SUM(Floors!$E$2:$E$201), "", INDEX(Floors!$H$2:$H$201, IFERROR(MATCH(ROW()-1-0.0001, Floors!$L$2:$L$201, 1), 0)+1))</f>
        <v/>
      </c>
      <c r="L121" s="14">
        <f>IF(ROW()-1&gt;SUM(Floors!$E$2:$E$201), "", INDEX(Floors!$D$2:$D$201, IFERROR(MATCH(ROW()-1-0.0001, Floors!$L$2:$L$201, 1), 0)+1))</f>
        <v/>
      </c>
      <c r="M121" s="15">
        <f>IF(ROW()-1&gt;SUM(Floors!$E$2:$E$201), "", INDEX(Floors!$K$2:$K$201, IFERROR(MATCH(ROW()-1-0.0001, Floors!$L$2:$L$201, 1), 0)+1))</f>
        <v/>
      </c>
    </row>
    <row r="122">
      <c r="A122" s="6">
        <f>IF(J122="","",IF(J122=J121,"",J122))</f>
        <v/>
      </c>
      <c r="B122" s="6">
        <f>IF(K122="","",IF(K122=K121,"",K122))</f>
        <v/>
      </c>
      <c r="C122" s="5">
        <f>IF(L122="","",IF(L122=L121,"",L122))</f>
        <v/>
      </c>
      <c r="D122" s="6">
        <f>IF(L122="","", SUBSTITUTE(M122," Floor","") &amp; " " &amp; CHOOSE(MIN((ROW()-1)-IFERROR(INDEX(Floors!$L$2:$L$201, MATCH(ROW()-1-0.0001, Floors!$L$2:$L$201, 1)), 0), 4), "North", "South", "East", "West"))</f>
        <v/>
      </c>
      <c r="E122" s="12" t="n"/>
      <c r="F122" s="12" t="n"/>
      <c r="G122" s="12" t="n"/>
      <c r="H122" s="16" t="n"/>
      <c r="I122" s="16" t="n"/>
      <c r="J122" s="15">
        <f>IF(ROW()-1&gt;SUM(Floors!$E$2:$E$201), "", INDEX(Floors!$F$2:$F$201, IFERROR(MATCH(ROW()-1-0.0001, Floors!$L$2:$L$201, 1), 0)+1))</f>
        <v/>
      </c>
      <c r="K122" s="15">
        <f>IF(ROW()-1&gt;SUM(Floors!$E$2:$E$201), "", INDEX(Floors!$H$2:$H$201, IFERROR(MATCH(ROW()-1-0.0001, Floors!$L$2:$L$201, 1), 0)+1))</f>
        <v/>
      </c>
      <c r="L122" s="14">
        <f>IF(ROW()-1&gt;SUM(Floors!$E$2:$E$201), "", INDEX(Floors!$D$2:$D$201, IFERROR(MATCH(ROW()-1-0.0001, Floors!$L$2:$L$201, 1), 0)+1))</f>
        <v/>
      </c>
      <c r="M122" s="15">
        <f>IF(ROW()-1&gt;SUM(Floors!$E$2:$E$201), "", INDEX(Floors!$K$2:$K$201, IFERROR(MATCH(ROW()-1-0.0001, Floors!$L$2:$L$201, 1), 0)+1))</f>
        <v/>
      </c>
    </row>
    <row r="123">
      <c r="A123" s="6">
        <f>IF(J123="","",IF(J123=J122,"",J123))</f>
        <v/>
      </c>
      <c r="B123" s="6">
        <f>IF(K123="","",IF(K123=K122,"",K123))</f>
        <v/>
      </c>
      <c r="C123" s="5">
        <f>IF(L123="","",IF(L123=L122,"",L123))</f>
        <v/>
      </c>
      <c r="D123" s="6">
        <f>IF(L123="","", SUBSTITUTE(M123," Floor","") &amp; " " &amp; CHOOSE(MIN((ROW()-1)-IFERROR(INDEX(Floors!$L$2:$L$201, MATCH(ROW()-1-0.0001, Floors!$L$2:$L$201, 1)), 0), 4), "North", "South", "East", "West"))</f>
        <v/>
      </c>
      <c r="E123" s="12" t="n"/>
      <c r="F123" s="12" t="n"/>
      <c r="G123" s="12" t="n"/>
      <c r="H123" s="16" t="n"/>
      <c r="I123" s="16" t="n"/>
      <c r="J123" s="15">
        <f>IF(ROW()-1&gt;SUM(Floors!$E$2:$E$201), "", INDEX(Floors!$F$2:$F$201, IFERROR(MATCH(ROW()-1-0.0001, Floors!$L$2:$L$201, 1), 0)+1))</f>
        <v/>
      </c>
      <c r="K123" s="15">
        <f>IF(ROW()-1&gt;SUM(Floors!$E$2:$E$201), "", INDEX(Floors!$H$2:$H$201, IFERROR(MATCH(ROW()-1-0.0001, Floors!$L$2:$L$201, 1), 0)+1))</f>
        <v/>
      </c>
      <c r="L123" s="14">
        <f>IF(ROW()-1&gt;SUM(Floors!$E$2:$E$201), "", INDEX(Floors!$D$2:$D$201, IFERROR(MATCH(ROW()-1-0.0001, Floors!$L$2:$L$201, 1), 0)+1))</f>
        <v/>
      </c>
      <c r="M123" s="15">
        <f>IF(ROW()-1&gt;SUM(Floors!$E$2:$E$201), "", INDEX(Floors!$K$2:$K$201, IFERROR(MATCH(ROW()-1-0.0001, Floors!$L$2:$L$201, 1), 0)+1))</f>
        <v/>
      </c>
    </row>
    <row r="124">
      <c r="A124" s="6">
        <f>IF(J124="","",IF(J124=J123,"",J124))</f>
        <v/>
      </c>
      <c r="B124" s="6">
        <f>IF(K124="","",IF(K124=K123,"",K124))</f>
        <v/>
      </c>
      <c r="C124" s="5">
        <f>IF(L124="","",IF(L124=L123,"",L124))</f>
        <v/>
      </c>
      <c r="D124" s="6">
        <f>IF(L124="","", SUBSTITUTE(M124," Floor","") &amp; " " &amp; CHOOSE(MIN((ROW()-1)-IFERROR(INDEX(Floors!$L$2:$L$201, MATCH(ROW()-1-0.0001, Floors!$L$2:$L$201, 1)), 0), 4), "North", "South", "East", "West"))</f>
        <v/>
      </c>
      <c r="E124" s="12" t="n"/>
      <c r="F124" s="12" t="n"/>
      <c r="G124" s="12" t="n"/>
      <c r="H124" s="16" t="n"/>
      <c r="I124" s="16" t="n"/>
      <c r="J124" s="15">
        <f>IF(ROW()-1&gt;SUM(Floors!$E$2:$E$201), "", INDEX(Floors!$F$2:$F$201, IFERROR(MATCH(ROW()-1-0.0001, Floors!$L$2:$L$201, 1), 0)+1))</f>
        <v/>
      </c>
      <c r="K124" s="15">
        <f>IF(ROW()-1&gt;SUM(Floors!$E$2:$E$201), "", INDEX(Floors!$H$2:$H$201, IFERROR(MATCH(ROW()-1-0.0001, Floors!$L$2:$L$201, 1), 0)+1))</f>
        <v/>
      </c>
      <c r="L124" s="14">
        <f>IF(ROW()-1&gt;SUM(Floors!$E$2:$E$201), "", INDEX(Floors!$D$2:$D$201, IFERROR(MATCH(ROW()-1-0.0001, Floors!$L$2:$L$201, 1), 0)+1))</f>
        <v/>
      </c>
      <c r="M124" s="15">
        <f>IF(ROW()-1&gt;SUM(Floors!$E$2:$E$201), "", INDEX(Floors!$K$2:$K$201, IFERROR(MATCH(ROW()-1-0.0001, Floors!$L$2:$L$201, 1), 0)+1))</f>
        <v/>
      </c>
    </row>
    <row r="125">
      <c r="A125" s="6">
        <f>IF(J125="","",IF(J125=J124,"",J125))</f>
        <v/>
      </c>
      <c r="B125" s="6">
        <f>IF(K125="","",IF(K125=K124,"",K125))</f>
        <v/>
      </c>
      <c r="C125" s="5">
        <f>IF(L125="","",IF(L125=L124,"",L125))</f>
        <v/>
      </c>
      <c r="D125" s="6">
        <f>IF(L125="","", SUBSTITUTE(M125," Floor","") &amp; " " &amp; CHOOSE(MIN((ROW()-1)-IFERROR(INDEX(Floors!$L$2:$L$201, MATCH(ROW()-1-0.0001, Floors!$L$2:$L$201, 1)), 0), 4), "North", "South", "East", "West"))</f>
        <v/>
      </c>
      <c r="E125" s="12" t="n"/>
      <c r="F125" s="12" t="n"/>
      <c r="G125" s="12" t="n"/>
      <c r="H125" s="16" t="n"/>
      <c r="I125" s="16" t="n"/>
      <c r="J125" s="15">
        <f>IF(ROW()-1&gt;SUM(Floors!$E$2:$E$201), "", INDEX(Floors!$F$2:$F$201, IFERROR(MATCH(ROW()-1-0.0001, Floors!$L$2:$L$201, 1), 0)+1))</f>
        <v/>
      </c>
      <c r="K125" s="15">
        <f>IF(ROW()-1&gt;SUM(Floors!$E$2:$E$201), "", INDEX(Floors!$H$2:$H$201, IFERROR(MATCH(ROW()-1-0.0001, Floors!$L$2:$L$201, 1), 0)+1))</f>
        <v/>
      </c>
      <c r="L125" s="14">
        <f>IF(ROW()-1&gt;SUM(Floors!$E$2:$E$201), "", INDEX(Floors!$D$2:$D$201, IFERROR(MATCH(ROW()-1-0.0001, Floors!$L$2:$L$201, 1), 0)+1))</f>
        <v/>
      </c>
      <c r="M125" s="15">
        <f>IF(ROW()-1&gt;SUM(Floors!$E$2:$E$201), "", INDEX(Floors!$K$2:$K$201, IFERROR(MATCH(ROW()-1-0.0001, Floors!$L$2:$L$201, 1), 0)+1))</f>
        <v/>
      </c>
    </row>
    <row r="126">
      <c r="A126" s="6">
        <f>IF(J126="","",IF(J126=J125,"",J126))</f>
        <v/>
      </c>
      <c r="B126" s="6">
        <f>IF(K126="","",IF(K126=K125,"",K126))</f>
        <v/>
      </c>
      <c r="C126" s="5">
        <f>IF(L126="","",IF(L126=L125,"",L126))</f>
        <v/>
      </c>
      <c r="D126" s="6">
        <f>IF(L126="","", SUBSTITUTE(M126," Floor","") &amp; " " &amp; CHOOSE(MIN((ROW()-1)-IFERROR(INDEX(Floors!$L$2:$L$201, MATCH(ROW()-1-0.0001, Floors!$L$2:$L$201, 1)), 0), 4), "North", "South", "East", "West"))</f>
        <v/>
      </c>
      <c r="E126" s="12" t="n"/>
      <c r="F126" s="12" t="n"/>
      <c r="G126" s="12" t="n"/>
      <c r="H126" s="16" t="n"/>
      <c r="I126" s="16" t="n"/>
      <c r="J126" s="15">
        <f>IF(ROW()-1&gt;SUM(Floors!$E$2:$E$201), "", INDEX(Floors!$F$2:$F$201, IFERROR(MATCH(ROW()-1-0.0001, Floors!$L$2:$L$201, 1), 0)+1))</f>
        <v/>
      </c>
      <c r="K126" s="15">
        <f>IF(ROW()-1&gt;SUM(Floors!$E$2:$E$201), "", INDEX(Floors!$H$2:$H$201, IFERROR(MATCH(ROW()-1-0.0001, Floors!$L$2:$L$201, 1), 0)+1))</f>
        <v/>
      </c>
      <c r="L126" s="14">
        <f>IF(ROW()-1&gt;SUM(Floors!$E$2:$E$201), "", INDEX(Floors!$D$2:$D$201, IFERROR(MATCH(ROW()-1-0.0001, Floors!$L$2:$L$201, 1), 0)+1))</f>
        <v/>
      </c>
      <c r="M126" s="15">
        <f>IF(ROW()-1&gt;SUM(Floors!$E$2:$E$201), "", INDEX(Floors!$K$2:$K$201, IFERROR(MATCH(ROW()-1-0.0001, Floors!$L$2:$L$201, 1), 0)+1))</f>
        <v/>
      </c>
    </row>
    <row r="127">
      <c r="A127" s="6">
        <f>IF(J127="","",IF(J127=J126,"",J127))</f>
        <v/>
      </c>
      <c r="B127" s="6">
        <f>IF(K127="","",IF(K127=K126,"",K127))</f>
        <v/>
      </c>
      <c r="C127" s="5">
        <f>IF(L127="","",IF(L127=L126,"",L127))</f>
        <v/>
      </c>
      <c r="D127" s="6">
        <f>IF(L127="","", SUBSTITUTE(M127," Floor","") &amp; " " &amp; CHOOSE(MIN((ROW()-1)-IFERROR(INDEX(Floors!$L$2:$L$201, MATCH(ROW()-1-0.0001, Floors!$L$2:$L$201, 1)), 0), 4), "North", "South", "East", "West"))</f>
        <v/>
      </c>
      <c r="E127" s="12" t="n"/>
      <c r="F127" s="12" t="n"/>
      <c r="G127" s="12" t="n"/>
      <c r="H127" s="16" t="n"/>
      <c r="I127" s="16" t="n"/>
      <c r="J127" s="15">
        <f>IF(ROW()-1&gt;SUM(Floors!$E$2:$E$201), "", INDEX(Floors!$F$2:$F$201, IFERROR(MATCH(ROW()-1-0.0001, Floors!$L$2:$L$201, 1), 0)+1))</f>
        <v/>
      </c>
      <c r="K127" s="15">
        <f>IF(ROW()-1&gt;SUM(Floors!$E$2:$E$201), "", INDEX(Floors!$H$2:$H$201, IFERROR(MATCH(ROW()-1-0.0001, Floors!$L$2:$L$201, 1), 0)+1))</f>
        <v/>
      </c>
      <c r="L127" s="14">
        <f>IF(ROW()-1&gt;SUM(Floors!$E$2:$E$201), "", INDEX(Floors!$D$2:$D$201, IFERROR(MATCH(ROW()-1-0.0001, Floors!$L$2:$L$201, 1), 0)+1))</f>
        <v/>
      </c>
      <c r="M127" s="15">
        <f>IF(ROW()-1&gt;SUM(Floors!$E$2:$E$201), "", INDEX(Floors!$K$2:$K$201, IFERROR(MATCH(ROW()-1-0.0001, Floors!$L$2:$L$201, 1), 0)+1))</f>
        <v/>
      </c>
    </row>
    <row r="128">
      <c r="A128" s="6">
        <f>IF(J128="","",IF(J128=J127,"",J128))</f>
        <v/>
      </c>
      <c r="B128" s="6">
        <f>IF(K128="","",IF(K128=K127,"",K128))</f>
        <v/>
      </c>
      <c r="C128" s="5">
        <f>IF(L128="","",IF(L128=L127,"",L128))</f>
        <v/>
      </c>
      <c r="D128" s="6">
        <f>IF(L128="","", SUBSTITUTE(M128," Floor","") &amp; " " &amp; CHOOSE(MIN((ROW()-1)-IFERROR(INDEX(Floors!$L$2:$L$201, MATCH(ROW()-1-0.0001, Floors!$L$2:$L$201, 1)), 0), 4), "North", "South", "East", "West"))</f>
        <v/>
      </c>
      <c r="E128" s="12" t="n"/>
      <c r="F128" s="12" t="n"/>
      <c r="G128" s="12" t="n"/>
      <c r="H128" s="16" t="n"/>
      <c r="I128" s="16" t="n"/>
      <c r="J128" s="15">
        <f>IF(ROW()-1&gt;SUM(Floors!$E$2:$E$201), "", INDEX(Floors!$F$2:$F$201, IFERROR(MATCH(ROW()-1-0.0001, Floors!$L$2:$L$201, 1), 0)+1))</f>
        <v/>
      </c>
      <c r="K128" s="15">
        <f>IF(ROW()-1&gt;SUM(Floors!$E$2:$E$201), "", INDEX(Floors!$H$2:$H$201, IFERROR(MATCH(ROW()-1-0.0001, Floors!$L$2:$L$201, 1), 0)+1))</f>
        <v/>
      </c>
      <c r="L128" s="14">
        <f>IF(ROW()-1&gt;SUM(Floors!$E$2:$E$201), "", INDEX(Floors!$D$2:$D$201, IFERROR(MATCH(ROW()-1-0.0001, Floors!$L$2:$L$201, 1), 0)+1))</f>
        <v/>
      </c>
      <c r="M128" s="15">
        <f>IF(ROW()-1&gt;SUM(Floors!$E$2:$E$201), "", INDEX(Floors!$K$2:$K$201, IFERROR(MATCH(ROW()-1-0.0001, Floors!$L$2:$L$201, 1), 0)+1))</f>
        <v/>
      </c>
    </row>
    <row r="129">
      <c r="A129" s="6">
        <f>IF(J129="","",IF(J129=J128,"",J129))</f>
        <v/>
      </c>
      <c r="B129" s="6">
        <f>IF(K129="","",IF(K129=K128,"",K129))</f>
        <v/>
      </c>
      <c r="C129" s="5">
        <f>IF(L129="","",IF(L129=L128,"",L129))</f>
        <v/>
      </c>
      <c r="D129" s="6">
        <f>IF(L129="","", SUBSTITUTE(M129," Floor","") &amp; " " &amp; CHOOSE(MIN((ROW()-1)-IFERROR(INDEX(Floors!$L$2:$L$201, MATCH(ROW()-1-0.0001, Floors!$L$2:$L$201, 1)), 0), 4), "North", "South", "East", "West"))</f>
        <v/>
      </c>
      <c r="E129" s="12" t="n"/>
      <c r="F129" s="12" t="n"/>
      <c r="G129" s="12" t="n"/>
      <c r="H129" s="16" t="n"/>
      <c r="I129" s="16" t="n"/>
      <c r="J129" s="15">
        <f>IF(ROW()-1&gt;SUM(Floors!$E$2:$E$201), "", INDEX(Floors!$F$2:$F$201, IFERROR(MATCH(ROW()-1-0.0001, Floors!$L$2:$L$201, 1), 0)+1))</f>
        <v/>
      </c>
      <c r="K129" s="15">
        <f>IF(ROW()-1&gt;SUM(Floors!$E$2:$E$201), "", INDEX(Floors!$H$2:$H$201, IFERROR(MATCH(ROW()-1-0.0001, Floors!$L$2:$L$201, 1), 0)+1))</f>
        <v/>
      </c>
      <c r="L129" s="14">
        <f>IF(ROW()-1&gt;SUM(Floors!$E$2:$E$201), "", INDEX(Floors!$D$2:$D$201, IFERROR(MATCH(ROW()-1-0.0001, Floors!$L$2:$L$201, 1), 0)+1))</f>
        <v/>
      </c>
      <c r="M129" s="15">
        <f>IF(ROW()-1&gt;SUM(Floors!$E$2:$E$201), "", INDEX(Floors!$K$2:$K$201, IFERROR(MATCH(ROW()-1-0.0001, Floors!$L$2:$L$201, 1), 0)+1))</f>
        <v/>
      </c>
    </row>
    <row r="130">
      <c r="A130" s="6">
        <f>IF(J130="","",IF(J130=J129,"",J130))</f>
        <v/>
      </c>
      <c r="B130" s="6">
        <f>IF(K130="","",IF(K130=K129,"",K130))</f>
        <v/>
      </c>
      <c r="C130" s="5">
        <f>IF(L130="","",IF(L130=L129,"",L130))</f>
        <v/>
      </c>
      <c r="D130" s="6">
        <f>IF(L130="","", SUBSTITUTE(M130," Floor","") &amp; " " &amp; CHOOSE(MIN((ROW()-1)-IFERROR(INDEX(Floors!$L$2:$L$201, MATCH(ROW()-1-0.0001, Floors!$L$2:$L$201, 1)), 0), 4), "North", "South", "East", "West"))</f>
        <v/>
      </c>
      <c r="E130" s="12" t="n"/>
      <c r="F130" s="12" t="n"/>
      <c r="G130" s="12" t="n"/>
      <c r="H130" s="16" t="n"/>
      <c r="I130" s="16" t="n"/>
      <c r="J130" s="15">
        <f>IF(ROW()-1&gt;SUM(Floors!$E$2:$E$201), "", INDEX(Floors!$F$2:$F$201, IFERROR(MATCH(ROW()-1-0.0001, Floors!$L$2:$L$201, 1), 0)+1))</f>
        <v/>
      </c>
      <c r="K130" s="15">
        <f>IF(ROW()-1&gt;SUM(Floors!$E$2:$E$201), "", INDEX(Floors!$H$2:$H$201, IFERROR(MATCH(ROW()-1-0.0001, Floors!$L$2:$L$201, 1), 0)+1))</f>
        <v/>
      </c>
      <c r="L130" s="14">
        <f>IF(ROW()-1&gt;SUM(Floors!$E$2:$E$201), "", INDEX(Floors!$D$2:$D$201, IFERROR(MATCH(ROW()-1-0.0001, Floors!$L$2:$L$201, 1), 0)+1))</f>
        <v/>
      </c>
      <c r="M130" s="15">
        <f>IF(ROW()-1&gt;SUM(Floors!$E$2:$E$201), "", INDEX(Floors!$K$2:$K$201, IFERROR(MATCH(ROW()-1-0.0001, Floors!$L$2:$L$201, 1), 0)+1))</f>
        <v/>
      </c>
    </row>
    <row r="131">
      <c r="A131" s="6">
        <f>IF(J131="","",IF(J131=J130,"",J131))</f>
        <v/>
      </c>
      <c r="B131" s="6">
        <f>IF(K131="","",IF(K131=K130,"",K131))</f>
        <v/>
      </c>
      <c r="C131" s="5">
        <f>IF(L131="","",IF(L131=L130,"",L131))</f>
        <v/>
      </c>
      <c r="D131" s="6">
        <f>IF(L131="","", SUBSTITUTE(M131," Floor","") &amp; " " &amp; CHOOSE(MIN((ROW()-1)-IFERROR(INDEX(Floors!$L$2:$L$201, MATCH(ROW()-1-0.0001, Floors!$L$2:$L$201, 1)), 0), 4), "North", "South", "East", "West"))</f>
        <v/>
      </c>
      <c r="E131" s="12" t="n"/>
      <c r="F131" s="12" t="n"/>
      <c r="G131" s="12" t="n"/>
      <c r="H131" s="16" t="n"/>
      <c r="I131" s="16" t="n"/>
      <c r="J131" s="15">
        <f>IF(ROW()-1&gt;SUM(Floors!$E$2:$E$201), "", INDEX(Floors!$F$2:$F$201, IFERROR(MATCH(ROW()-1-0.0001, Floors!$L$2:$L$201, 1), 0)+1))</f>
        <v/>
      </c>
      <c r="K131" s="15">
        <f>IF(ROW()-1&gt;SUM(Floors!$E$2:$E$201), "", INDEX(Floors!$H$2:$H$201, IFERROR(MATCH(ROW()-1-0.0001, Floors!$L$2:$L$201, 1), 0)+1))</f>
        <v/>
      </c>
      <c r="L131" s="14">
        <f>IF(ROW()-1&gt;SUM(Floors!$E$2:$E$201), "", INDEX(Floors!$D$2:$D$201, IFERROR(MATCH(ROW()-1-0.0001, Floors!$L$2:$L$201, 1), 0)+1))</f>
        <v/>
      </c>
      <c r="M131" s="15">
        <f>IF(ROW()-1&gt;SUM(Floors!$E$2:$E$201), "", INDEX(Floors!$K$2:$K$201, IFERROR(MATCH(ROW()-1-0.0001, Floors!$L$2:$L$201, 1), 0)+1))</f>
        <v/>
      </c>
    </row>
    <row r="132">
      <c r="A132" s="6">
        <f>IF(J132="","",IF(J132=J131,"",J132))</f>
        <v/>
      </c>
      <c r="B132" s="6">
        <f>IF(K132="","",IF(K132=K131,"",K132))</f>
        <v/>
      </c>
      <c r="C132" s="5">
        <f>IF(L132="","",IF(L132=L131,"",L132))</f>
        <v/>
      </c>
      <c r="D132" s="6">
        <f>IF(L132="","", SUBSTITUTE(M132," Floor","") &amp; " " &amp; CHOOSE(MIN((ROW()-1)-IFERROR(INDEX(Floors!$L$2:$L$201, MATCH(ROW()-1-0.0001, Floors!$L$2:$L$201, 1)), 0), 4), "North", "South", "East", "West"))</f>
        <v/>
      </c>
      <c r="E132" s="12" t="n"/>
      <c r="F132" s="12" t="n"/>
      <c r="G132" s="12" t="n"/>
      <c r="H132" s="16" t="n"/>
      <c r="I132" s="16" t="n"/>
      <c r="J132" s="15">
        <f>IF(ROW()-1&gt;SUM(Floors!$E$2:$E$201), "", INDEX(Floors!$F$2:$F$201, IFERROR(MATCH(ROW()-1-0.0001, Floors!$L$2:$L$201, 1), 0)+1))</f>
        <v/>
      </c>
      <c r="K132" s="15">
        <f>IF(ROW()-1&gt;SUM(Floors!$E$2:$E$201), "", INDEX(Floors!$H$2:$H$201, IFERROR(MATCH(ROW()-1-0.0001, Floors!$L$2:$L$201, 1), 0)+1))</f>
        <v/>
      </c>
      <c r="L132" s="14">
        <f>IF(ROW()-1&gt;SUM(Floors!$E$2:$E$201), "", INDEX(Floors!$D$2:$D$201, IFERROR(MATCH(ROW()-1-0.0001, Floors!$L$2:$L$201, 1), 0)+1))</f>
        <v/>
      </c>
      <c r="M132" s="15">
        <f>IF(ROW()-1&gt;SUM(Floors!$E$2:$E$201), "", INDEX(Floors!$K$2:$K$201, IFERROR(MATCH(ROW()-1-0.0001, Floors!$L$2:$L$201, 1), 0)+1))</f>
        <v/>
      </c>
    </row>
    <row r="133">
      <c r="A133" s="6">
        <f>IF(J133="","",IF(J133=J132,"",J133))</f>
        <v/>
      </c>
      <c r="B133" s="6">
        <f>IF(K133="","",IF(K133=K132,"",K133))</f>
        <v/>
      </c>
      <c r="C133" s="5">
        <f>IF(L133="","",IF(L133=L132,"",L133))</f>
        <v/>
      </c>
      <c r="D133" s="6">
        <f>IF(L133="","", SUBSTITUTE(M133," Floor","") &amp; " " &amp; CHOOSE(MIN((ROW()-1)-IFERROR(INDEX(Floors!$L$2:$L$201, MATCH(ROW()-1-0.0001, Floors!$L$2:$L$201, 1)), 0), 4), "North", "South", "East", "West"))</f>
        <v/>
      </c>
      <c r="E133" s="12" t="n"/>
      <c r="F133" s="12" t="n"/>
      <c r="G133" s="12" t="n"/>
      <c r="H133" s="16" t="n"/>
      <c r="I133" s="16" t="n"/>
      <c r="J133" s="15">
        <f>IF(ROW()-1&gt;SUM(Floors!$E$2:$E$201), "", INDEX(Floors!$F$2:$F$201, IFERROR(MATCH(ROW()-1-0.0001, Floors!$L$2:$L$201, 1), 0)+1))</f>
        <v/>
      </c>
      <c r="K133" s="15">
        <f>IF(ROW()-1&gt;SUM(Floors!$E$2:$E$201), "", INDEX(Floors!$H$2:$H$201, IFERROR(MATCH(ROW()-1-0.0001, Floors!$L$2:$L$201, 1), 0)+1))</f>
        <v/>
      </c>
      <c r="L133" s="14">
        <f>IF(ROW()-1&gt;SUM(Floors!$E$2:$E$201), "", INDEX(Floors!$D$2:$D$201, IFERROR(MATCH(ROW()-1-0.0001, Floors!$L$2:$L$201, 1), 0)+1))</f>
        <v/>
      </c>
      <c r="M133" s="15">
        <f>IF(ROW()-1&gt;SUM(Floors!$E$2:$E$201), "", INDEX(Floors!$K$2:$K$201, IFERROR(MATCH(ROW()-1-0.0001, Floors!$L$2:$L$201, 1), 0)+1))</f>
        <v/>
      </c>
    </row>
    <row r="134">
      <c r="A134" s="6">
        <f>IF(J134="","",IF(J134=J133,"",J134))</f>
        <v/>
      </c>
      <c r="B134" s="6">
        <f>IF(K134="","",IF(K134=K133,"",K134))</f>
        <v/>
      </c>
      <c r="C134" s="5">
        <f>IF(L134="","",IF(L134=L133,"",L134))</f>
        <v/>
      </c>
      <c r="D134" s="6">
        <f>IF(L134="","", SUBSTITUTE(M134," Floor","") &amp; " " &amp; CHOOSE(MIN((ROW()-1)-IFERROR(INDEX(Floors!$L$2:$L$201, MATCH(ROW()-1-0.0001, Floors!$L$2:$L$201, 1)), 0), 4), "North", "South", "East", "West"))</f>
        <v/>
      </c>
      <c r="E134" s="12" t="n"/>
      <c r="F134" s="12" t="n"/>
      <c r="G134" s="12" t="n"/>
      <c r="H134" s="16" t="n"/>
      <c r="I134" s="16" t="n"/>
      <c r="J134" s="15">
        <f>IF(ROW()-1&gt;SUM(Floors!$E$2:$E$201), "", INDEX(Floors!$F$2:$F$201, IFERROR(MATCH(ROW()-1-0.0001, Floors!$L$2:$L$201, 1), 0)+1))</f>
        <v/>
      </c>
      <c r="K134" s="15">
        <f>IF(ROW()-1&gt;SUM(Floors!$E$2:$E$201), "", INDEX(Floors!$H$2:$H$201, IFERROR(MATCH(ROW()-1-0.0001, Floors!$L$2:$L$201, 1), 0)+1))</f>
        <v/>
      </c>
      <c r="L134" s="14">
        <f>IF(ROW()-1&gt;SUM(Floors!$E$2:$E$201), "", INDEX(Floors!$D$2:$D$201, IFERROR(MATCH(ROW()-1-0.0001, Floors!$L$2:$L$201, 1), 0)+1))</f>
        <v/>
      </c>
      <c r="M134" s="15">
        <f>IF(ROW()-1&gt;SUM(Floors!$E$2:$E$201), "", INDEX(Floors!$K$2:$K$201, IFERROR(MATCH(ROW()-1-0.0001, Floors!$L$2:$L$201, 1), 0)+1))</f>
        <v/>
      </c>
    </row>
    <row r="135">
      <c r="A135" s="6">
        <f>IF(J135="","",IF(J135=J134,"",J135))</f>
        <v/>
      </c>
      <c r="B135" s="6">
        <f>IF(K135="","",IF(K135=K134,"",K135))</f>
        <v/>
      </c>
      <c r="C135" s="5">
        <f>IF(L135="","",IF(L135=L134,"",L135))</f>
        <v/>
      </c>
      <c r="D135" s="6">
        <f>IF(L135="","", SUBSTITUTE(M135," Floor","") &amp; " " &amp; CHOOSE(MIN((ROW()-1)-IFERROR(INDEX(Floors!$L$2:$L$201, MATCH(ROW()-1-0.0001, Floors!$L$2:$L$201, 1)), 0), 4), "North", "South", "East", "West"))</f>
        <v/>
      </c>
      <c r="E135" s="12" t="n"/>
      <c r="F135" s="12" t="n"/>
      <c r="G135" s="12" t="n"/>
      <c r="H135" s="16" t="n"/>
      <c r="I135" s="16" t="n"/>
      <c r="J135" s="15">
        <f>IF(ROW()-1&gt;SUM(Floors!$E$2:$E$201), "", INDEX(Floors!$F$2:$F$201, IFERROR(MATCH(ROW()-1-0.0001, Floors!$L$2:$L$201, 1), 0)+1))</f>
        <v/>
      </c>
      <c r="K135" s="15">
        <f>IF(ROW()-1&gt;SUM(Floors!$E$2:$E$201), "", INDEX(Floors!$H$2:$H$201, IFERROR(MATCH(ROW()-1-0.0001, Floors!$L$2:$L$201, 1), 0)+1))</f>
        <v/>
      </c>
      <c r="L135" s="14">
        <f>IF(ROW()-1&gt;SUM(Floors!$E$2:$E$201), "", INDEX(Floors!$D$2:$D$201, IFERROR(MATCH(ROW()-1-0.0001, Floors!$L$2:$L$201, 1), 0)+1))</f>
        <v/>
      </c>
      <c r="M135" s="15">
        <f>IF(ROW()-1&gt;SUM(Floors!$E$2:$E$201), "", INDEX(Floors!$K$2:$K$201, IFERROR(MATCH(ROW()-1-0.0001, Floors!$L$2:$L$201, 1), 0)+1))</f>
        <v/>
      </c>
    </row>
    <row r="136">
      <c r="A136" s="6">
        <f>IF(J136="","",IF(J136=J135,"",J136))</f>
        <v/>
      </c>
      <c r="B136" s="6">
        <f>IF(K136="","",IF(K136=K135,"",K136))</f>
        <v/>
      </c>
      <c r="C136" s="5">
        <f>IF(L136="","",IF(L136=L135,"",L136))</f>
        <v/>
      </c>
      <c r="D136" s="6">
        <f>IF(L136="","", SUBSTITUTE(M136," Floor","") &amp; " " &amp; CHOOSE(MIN((ROW()-1)-IFERROR(INDEX(Floors!$L$2:$L$201, MATCH(ROW()-1-0.0001, Floors!$L$2:$L$201, 1)), 0), 4), "North", "South", "East", "West"))</f>
        <v/>
      </c>
      <c r="E136" s="12" t="n"/>
      <c r="F136" s="12" t="n"/>
      <c r="G136" s="12" t="n"/>
      <c r="H136" s="16" t="n"/>
      <c r="I136" s="16" t="n"/>
      <c r="J136" s="15">
        <f>IF(ROW()-1&gt;SUM(Floors!$E$2:$E$201), "", INDEX(Floors!$F$2:$F$201, IFERROR(MATCH(ROW()-1-0.0001, Floors!$L$2:$L$201, 1), 0)+1))</f>
        <v/>
      </c>
      <c r="K136" s="15">
        <f>IF(ROW()-1&gt;SUM(Floors!$E$2:$E$201), "", INDEX(Floors!$H$2:$H$201, IFERROR(MATCH(ROW()-1-0.0001, Floors!$L$2:$L$201, 1), 0)+1))</f>
        <v/>
      </c>
      <c r="L136" s="14">
        <f>IF(ROW()-1&gt;SUM(Floors!$E$2:$E$201), "", INDEX(Floors!$D$2:$D$201, IFERROR(MATCH(ROW()-1-0.0001, Floors!$L$2:$L$201, 1), 0)+1))</f>
        <v/>
      </c>
      <c r="M136" s="15">
        <f>IF(ROW()-1&gt;SUM(Floors!$E$2:$E$201), "", INDEX(Floors!$K$2:$K$201, IFERROR(MATCH(ROW()-1-0.0001, Floors!$L$2:$L$201, 1), 0)+1))</f>
        <v/>
      </c>
    </row>
    <row r="137">
      <c r="A137" s="6">
        <f>IF(J137="","",IF(J137=J136,"",J137))</f>
        <v/>
      </c>
      <c r="B137" s="6">
        <f>IF(K137="","",IF(K137=K136,"",K137))</f>
        <v/>
      </c>
      <c r="C137" s="5">
        <f>IF(L137="","",IF(L137=L136,"",L137))</f>
        <v/>
      </c>
      <c r="D137" s="6">
        <f>IF(L137="","", SUBSTITUTE(M137," Floor","") &amp; " " &amp; CHOOSE(MIN((ROW()-1)-IFERROR(INDEX(Floors!$L$2:$L$201, MATCH(ROW()-1-0.0001, Floors!$L$2:$L$201, 1)), 0), 4), "North", "South", "East", "West"))</f>
        <v/>
      </c>
      <c r="E137" s="12" t="n"/>
      <c r="F137" s="12" t="n"/>
      <c r="G137" s="12" t="n"/>
      <c r="H137" s="16" t="n"/>
      <c r="I137" s="16" t="n"/>
      <c r="J137" s="15">
        <f>IF(ROW()-1&gt;SUM(Floors!$E$2:$E$201), "", INDEX(Floors!$F$2:$F$201, IFERROR(MATCH(ROW()-1-0.0001, Floors!$L$2:$L$201, 1), 0)+1))</f>
        <v/>
      </c>
      <c r="K137" s="15">
        <f>IF(ROW()-1&gt;SUM(Floors!$E$2:$E$201), "", INDEX(Floors!$H$2:$H$201, IFERROR(MATCH(ROW()-1-0.0001, Floors!$L$2:$L$201, 1), 0)+1))</f>
        <v/>
      </c>
      <c r="L137" s="14">
        <f>IF(ROW()-1&gt;SUM(Floors!$E$2:$E$201), "", INDEX(Floors!$D$2:$D$201, IFERROR(MATCH(ROW()-1-0.0001, Floors!$L$2:$L$201, 1), 0)+1))</f>
        <v/>
      </c>
      <c r="M137" s="15">
        <f>IF(ROW()-1&gt;SUM(Floors!$E$2:$E$201), "", INDEX(Floors!$K$2:$K$201, IFERROR(MATCH(ROW()-1-0.0001, Floors!$L$2:$L$201, 1), 0)+1))</f>
        <v/>
      </c>
    </row>
    <row r="138">
      <c r="A138" s="6">
        <f>IF(J138="","",IF(J138=J137,"",J138))</f>
        <v/>
      </c>
      <c r="B138" s="6">
        <f>IF(K138="","",IF(K138=K137,"",K138))</f>
        <v/>
      </c>
      <c r="C138" s="5">
        <f>IF(L138="","",IF(L138=L137,"",L138))</f>
        <v/>
      </c>
      <c r="D138" s="6">
        <f>IF(L138="","", SUBSTITUTE(M138," Floor","") &amp; " " &amp; CHOOSE(MIN((ROW()-1)-IFERROR(INDEX(Floors!$L$2:$L$201, MATCH(ROW()-1-0.0001, Floors!$L$2:$L$201, 1)), 0), 4), "North", "South", "East", "West"))</f>
        <v/>
      </c>
      <c r="E138" s="12" t="n"/>
      <c r="F138" s="12" t="n"/>
      <c r="G138" s="12" t="n"/>
      <c r="H138" s="16" t="n"/>
      <c r="I138" s="16" t="n"/>
      <c r="J138" s="15">
        <f>IF(ROW()-1&gt;SUM(Floors!$E$2:$E$201), "", INDEX(Floors!$F$2:$F$201, IFERROR(MATCH(ROW()-1-0.0001, Floors!$L$2:$L$201, 1), 0)+1))</f>
        <v/>
      </c>
      <c r="K138" s="15">
        <f>IF(ROW()-1&gt;SUM(Floors!$E$2:$E$201), "", INDEX(Floors!$H$2:$H$201, IFERROR(MATCH(ROW()-1-0.0001, Floors!$L$2:$L$201, 1), 0)+1))</f>
        <v/>
      </c>
      <c r="L138" s="14">
        <f>IF(ROW()-1&gt;SUM(Floors!$E$2:$E$201), "", INDEX(Floors!$D$2:$D$201, IFERROR(MATCH(ROW()-1-0.0001, Floors!$L$2:$L$201, 1), 0)+1))</f>
        <v/>
      </c>
      <c r="M138" s="15">
        <f>IF(ROW()-1&gt;SUM(Floors!$E$2:$E$201), "", INDEX(Floors!$K$2:$K$201, IFERROR(MATCH(ROW()-1-0.0001, Floors!$L$2:$L$201, 1), 0)+1))</f>
        <v/>
      </c>
    </row>
    <row r="139">
      <c r="A139" s="6">
        <f>IF(J139="","",IF(J139=J138,"",J139))</f>
        <v/>
      </c>
      <c r="B139" s="6">
        <f>IF(K139="","",IF(K139=K138,"",K139))</f>
        <v/>
      </c>
      <c r="C139" s="5">
        <f>IF(L139="","",IF(L139=L138,"",L139))</f>
        <v/>
      </c>
      <c r="D139" s="6">
        <f>IF(L139="","", SUBSTITUTE(M139," Floor","") &amp; " " &amp; CHOOSE(MIN((ROW()-1)-IFERROR(INDEX(Floors!$L$2:$L$201, MATCH(ROW()-1-0.0001, Floors!$L$2:$L$201, 1)), 0), 4), "North", "South", "East", "West"))</f>
        <v/>
      </c>
      <c r="E139" s="12" t="n"/>
      <c r="F139" s="12" t="n"/>
      <c r="G139" s="12" t="n"/>
      <c r="H139" s="16" t="n"/>
      <c r="I139" s="16" t="n"/>
      <c r="J139" s="15">
        <f>IF(ROW()-1&gt;SUM(Floors!$E$2:$E$201), "", INDEX(Floors!$F$2:$F$201, IFERROR(MATCH(ROW()-1-0.0001, Floors!$L$2:$L$201, 1), 0)+1))</f>
        <v/>
      </c>
      <c r="K139" s="15">
        <f>IF(ROW()-1&gt;SUM(Floors!$E$2:$E$201), "", INDEX(Floors!$H$2:$H$201, IFERROR(MATCH(ROW()-1-0.0001, Floors!$L$2:$L$201, 1), 0)+1))</f>
        <v/>
      </c>
      <c r="L139" s="14">
        <f>IF(ROW()-1&gt;SUM(Floors!$E$2:$E$201), "", INDEX(Floors!$D$2:$D$201, IFERROR(MATCH(ROW()-1-0.0001, Floors!$L$2:$L$201, 1), 0)+1))</f>
        <v/>
      </c>
      <c r="M139" s="15">
        <f>IF(ROW()-1&gt;SUM(Floors!$E$2:$E$201), "", INDEX(Floors!$K$2:$K$201, IFERROR(MATCH(ROW()-1-0.0001, Floors!$L$2:$L$201, 1), 0)+1))</f>
        <v/>
      </c>
    </row>
    <row r="140">
      <c r="A140" s="6">
        <f>IF(J140="","",IF(J140=J139,"",J140))</f>
        <v/>
      </c>
      <c r="B140" s="6">
        <f>IF(K140="","",IF(K140=K139,"",K140))</f>
        <v/>
      </c>
      <c r="C140" s="5">
        <f>IF(L140="","",IF(L140=L139,"",L140))</f>
        <v/>
      </c>
      <c r="D140" s="6">
        <f>IF(L140="","", SUBSTITUTE(M140," Floor","") &amp; " " &amp; CHOOSE(MIN((ROW()-1)-IFERROR(INDEX(Floors!$L$2:$L$201, MATCH(ROW()-1-0.0001, Floors!$L$2:$L$201, 1)), 0), 4), "North", "South", "East", "West"))</f>
        <v/>
      </c>
      <c r="E140" s="12" t="n"/>
      <c r="F140" s="12" t="n"/>
      <c r="G140" s="12" t="n"/>
      <c r="H140" s="16" t="n"/>
      <c r="I140" s="16" t="n"/>
      <c r="J140" s="15">
        <f>IF(ROW()-1&gt;SUM(Floors!$E$2:$E$201), "", INDEX(Floors!$F$2:$F$201, IFERROR(MATCH(ROW()-1-0.0001, Floors!$L$2:$L$201, 1), 0)+1))</f>
        <v/>
      </c>
      <c r="K140" s="15">
        <f>IF(ROW()-1&gt;SUM(Floors!$E$2:$E$201), "", INDEX(Floors!$H$2:$H$201, IFERROR(MATCH(ROW()-1-0.0001, Floors!$L$2:$L$201, 1), 0)+1))</f>
        <v/>
      </c>
      <c r="L140" s="14">
        <f>IF(ROW()-1&gt;SUM(Floors!$E$2:$E$201), "", INDEX(Floors!$D$2:$D$201, IFERROR(MATCH(ROW()-1-0.0001, Floors!$L$2:$L$201, 1), 0)+1))</f>
        <v/>
      </c>
      <c r="M140" s="15">
        <f>IF(ROW()-1&gt;SUM(Floors!$E$2:$E$201), "", INDEX(Floors!$K$2:$K$201, IFERROR(MATCH(ROW()-1-0.0001, Floors!$L$2:$L$201, 1), 0)+1))</f>
        <v/>
      </c>
    </row>
    <row r="141">
      <c r="A141" s="6">
        <f>IF(J141="","",IF(J141=J140,"",J141))</f>
        <v/>
      </c>
      <c r="B141" s="6">
        <f>IF(K141="","",IF(K141=K140,"",K141))</f>
        <v/>
      </c>
      <c r="C141" s="5">
        <f>IF(L141="","",IF(L141=L140,"",L141))</f>
        <v/>
      </c>
      <c r="D141" s="6">
        <f>IF(L141="","", SUBSTITUTE(M141," Floor","") &amp; " " &amp; CHOOSE(MIN((ROW()-1)-IFERROR(INDEX(Floors!$L$2:$L$201, MATCH(ROW()-1-0.0001, Floors!$L$2:$L$201, 1)), 0), 4), "North", "South", "East", "West"))</f>
        <v/>
      </c>
      <c r="E141" s="12" t="n"/>
      <c r="F141" s="12" t="n"/>
      <c r="G141" s="12" t="n"/>
      <c r="H141" s="16" t="n"/>
      <c r="I141" s="16" t="n"/>
      <c r="J141" s="15">
        <f>IF(ROW()-1&gt;SUM(Floors!$E$2:$E$201), "", INDEX(Floors!$F$2:$F$201, IFERROR(MATCH(ROW()-1-0.0001, Floors!$L$2:$L$201, 1), 0)+1))</f>
        <v/>
      </c>
      <c r="K141" s="15">
        <f>IF(ROW()-1&gt;SUM(Floors!$E$2:$E$201), "", INDEX(Floors!$H$2:$H$201, IFERROR(MATCH(ROW()-1-0.0001, Floors!$L$2:$L$201, 1), 0)+1))</f>
        <v/>
      </c>
      <c r="L141" s="14">
        <f>IF(ROW()-1&gt;SUM(Floors!$E$2:$E$201), "", INDEX(Floors!$D$2:$D$201, IFERROR(MATCH(ROW()-1-0.0001, Floors!$L$2:$L$201, 1), 0)+1))</f>
        <v/>
      </c>
      <c r="M141" s="15">
        <f>IF(ROW()-1&gt;SUM(Floors!$E$2:$E$201), "", INDEX(Floors!$K$2:$K$201, IFERROR(MATCH(ROW()-1-0.0001, Floors!$L$2:$L$201, 1), 0)+1))</f>
        <v/>
      </c>
    </row>
    <row r="142">
      <c r="A142" s="6">
        <f>IF(J142="","",IF(J142=J141,"",J142))</f>
        <v/>
      </c>
      <c r="B142" s="6">
        <f>IF(K142="","",IF(K142=K141,"",K142))</f>
        <v/>
      </c>
      <c r="C142" s="5">
        <f>IF(L142="","",IF(L142=L141,"",L142))</f>
        <v/>
      </c>
      <c r="D142" s="6">
        <f>IF(L142="","", SUBSTITUTE(M142," Floor","") &amp; " " &amp; CHOOSE(MIN((ROW()-1)-IFERROR(INDEX(Floors!$L$2:$L$201, MATCH(ROW()-1-0.0001, Floors!$L$2:$L$201, 1)), 0), 4), "North", "South", "East", "West"))</f>
        <v/>
      </c>
      <c r="E142" s="12" t="n"/>
      <c r="F142" s="12" t="n"/>
      <c r="G142" s="12" t="n"/>
      <c r="H142" s="16" t="n"/>
      <c r="I142" s="16" t="n"/>
      <c r="J142" s="15">
        <f>IF(ROW()-1&gt;SUM(Floors!$E$2:$E$201), "", INDEX(Floors!$F$2:$F$201, IFERROR(MATCH(ROW()-1-0.0001, Floors!$L$2:$L$201, 1), 0)+1))</f>
        <v/>
      </c>
      <c r="K142" s="15">
        <f>IF(ROW()-1&gt;SUM(Floors!$E$2:$E$201), "", INDEX(Floors!$H$2:$H$201, IFERROR(MATCH(ROW()-1-0.0001, Floors!$L$2:$L$201, 1), 0)+1))</f>
        <v/>
      </c>
      <c r="L142" s="14">
        <f>IF(ROW()-1&gt;SUM(Floors!$E$2:$E$201), "", INDEX(Floors!$D$2:$D$201, IFERROR(MATCH(ROW()-1-0.0001, Floors!$L$2:$L$201, 1), 0)+1))</f>
        <v/>
      </c>
      <c r="M142" s="15">
        <f>IF(ROW()-1&gt;SUM(Floors!$E$2:$E$201), "", INDEX(Floors!$K$2:$K$201, IFERROR(MATCH(ROW()-1-0.0001, Floors!$L$2:$L$201, 1), 0)+1))</f>
        <v/>
      </c>
    </row>
    <row r="143">
      <c r="A143" s="6">
        <f>IF(J143="","",IF(J143=J142,"",J143))</f>
        <v/>
      </c>
      <c r="B143" s="6">
        <f>IF(K143="","",IF(K143=K142,"",K143))</f>
        <v/>
      </c>
      <c r="C143" s="5">
        <f>IF(L143="","",IF(L143=L142,"",L143))</f>
        <v/>
      </c>
      <c r="D143" s="6">
        <f>IF(L143="","", SUBSTITUTE(M143," Floor","") &amp; " " &amp; CHOOSE(MIN((ROW()-1)-IFERROR(INDEX(Floors!$L$2:$L$201, MATCH(ROW()-1-0.0001, Floors!$L$2:$L$201, 1)), 0), 4), "North", "South", "East", "West"))</f>
        <v/>
      </c>
      <c r="E143" s="12" t="n"/>
      <c r="F143" s="12" t="n"/>
      <c r="G143" s="12" t="n"/>
      <c r="H143" s="16" t="n"/>
      <c r="I143" s="16" t="n"/>
      <c r="J143" s="15">
        <f>IF(ROW()-1&gt;SUM(Floors!$E$2:$E$201), "", INDEX(Floors!$F$2:$F$201, IFERROR(MATCH(ROW()-1-0.0001, Floors!$L$2:$L$201, 1), 0)+1))</f>
        <v/>
      </c>
      <c r="K143" s="15">
        <f>IF(ROW()-1&gt;SUM(Floors!$E$2:$E$201), "", INDEX(Floors!$H$2:$H$201, IFERROR(MATCH(ROW()-1-0.0001, Floors!$L$2:$L$201, 1), 0)+1))</f>
        <v/>
      </c>
      <c r="L143" s="14">
        <f>IF(ROW()-1&gt;SUM(Floors!$E$2:$E$201), "", INDEX(Floors!$D$2:$D$201, IFERROR(MATCH(ROW()-1-0.0001, Floors!$L$2:$L$201, 1), 0)+1))</f>
        <v/>
      </c>
      <c r="M143" s="15">
        <f>IF(ROW()-1&gt;SUM(Floors!$E$2:$E$201), "", INDEX(Floors!$K$2:$K$201, IFERROR(MATCH(ROW()-1-0.0001, Floors!$L$2:$L$201, 1), 0)+1))</f>
        <v/>
      </c>
    </row>
    <row r="144">
      <c r="A144" s="6">
        <f>IF(J144="","",IF(J144=J143,"",J144))</f>
        <v/>
      </c>
      <c r="B144" s="6">
        <f>IF(K144="","",IF(K144=K143,"",K144))</f>
        <v/>
      </c>
      <c r="C144" s="5">
        <f>IF(L144="","",IF(L144=L143,"",L144))</f>
        <v/>
      </c>
      <c r="D144" s="6">
        <f>IF(L144="","", SUBSTITUTE(M144," Floor","") &amp; " " &amp; CHOOSE(MIN((ROW()-1)-IFERROR(INDEX(Floors!$L$2:$L$201, MATCH(ROW()-1-0.0001, Floors!$L$2:$L$201, 1)), 0), 4), "North", "South", "East", "West"))</f>
        <v/>
      </c>
      <c r="E144" s="12" t="n"/>
      <c r="F144" s="12" t="n"/>
      <c r="G144" s="12" t="n"/>
      <c r="H144" s="16" t="n"/>
      <c r="I144" s="16" t="n"/>
      <c r="J144" s="15">
        <f>IF(ROW()-1&gt;SUM(Floors!$E$2:$E$201), "", INDEX(Floors!$F$2:$F$201, IFERROR(MATCH(ROW()-1-0.0001, Floors!$L$2:$L$201, 1), 0)+1))</f>
        <v/>
      </c>
      <c r="K144" s="15">
        <f>IF(ROW()-1&gt;SUM(Floors!$E$2:$E$201), "", INDEX(Floors!$H$2:$H$201, IFERROR(MATCH(ROW()-1-0.0001, Floors!$L$2:$L$201, 1), 0)+1))</f>
        <v/>
      </c>
      <c r="L144" s="14">
        <f>IF(ROW()-1&gt;SUM(Floors!$E$2:$E$201), "", INDEX(Floors!$D$2:$D$201, IFERROR(MATCH(ROW()-1-0.0001, Floors!$L$2:$L$201, 1), 0)+1))</f>
        <v/>
      </c>
      <c r="M144" s="15">
        <f>IF(ROW()-1&gt;SUM(Floors!$E$2:$E$201), "", INDEX(Floors!$K$2:$K$201, IFERROR(MATCH(ROW()-1-0.0001, Floors!$L$2:$L$201, 1), 0)+1))</f>
        <v/>
      </c>
    </row>
    <row r="145">
      <c r="A145" s="6">
        <f>IF(J145="","",IF(J145=J144,"",J145))</f>
        <v/>
      </c>
      <c r="B145" s="6">
        <f>IF(K145="","",IF(K145=K144,"",K145))</f>
        <v/>
      </c>
      <c r="C145" s="5">
        <f>IF(L145="","",IF(L145=L144,"",L145))</f>
        <v/>
      </c>
      <c r="D145" s="6">
        <f>IF(L145="","", SUBSTITUTE(M145," Floor","") &amp; " " &amp; CHOOSE(MIN((ROW()-1)-IFERROR(INDEX(Floors!$L$2:$L$201, MATCH(ROW()-1-0.0001, Floors!$L$2:$L$201, 1)), 0), 4), "North", "South", "East", "West"))</f>
        <v/>
      </c>
      <c r="E145" s="12" t="n"/>
      <c r="F145" s="12" t="n"/>
      <c r="G145" s="12" t="n"/>
      <c r="H145" s="16" t="n"/>
      <c r="I145" s="16" t="n"/>
      <c r="J145" s="15">
        <f>IF(ROW()-1&gt;SUM(Floors!$E$2:$E$201), "", INDEX(Floors!$F$2:$F$201, IFERROR(MATCH(ROW()-1-0.0001, Floors!$L$2:$L$201, 1), 0)+1))</f>
        <v/>
      </c>
      <c r="K145" s="15">
        <f>IF(ROW()-1&gt;SUM(Floors!$E$2:$E$201), "", INDEX(Floors!$H$2:$H$201, IFERROR(MATCH(ROW()-1-0.0001, Floors!$L$2:$L$201, 1), 0)+1))</f>
        <v/>
      </c>
      <c r="L145" s="14">
        <f>IF(ROW()-1&gt;SUM(Floors!$E$2:$E$201), "", INDEX(Floors!$D$2:$D$201, IFERROR(MATCH(ROW()-1-0.0001, Floors!$L$2:$L$201, 1), 0)+1))</f>
        <v/>
      </c>
      <c r="M145" s="15">
        <f>IF(ROW()-1&gt;SUM(Floors!$E$2:$E$201), "", INDEX(Floors!$K$2:$K$201, IFERROR(MATCH(ROW()-1-0.0001, Floors!$L$2:$L$201, 1), 0)+1))</f>
        <v/>
      </c>
    </row>
    <row r="146">
      <c r="A146" s="6">
        <f>IF(J146="","",IF(J146=J145,"",J146))</f>
        <v/>
      </c>
      <c r="B146" s="6">
        <f>IF(K146="","",IF(K146=K145,"",K146))</f>
        <v/>
      </c>
      <c r="C146" s="5">
        <f>IF(L146="","",IF(L146=L145,"",L146))</f>
        <v/>
      </c>
      <c r="D146" s="6">
        <f>IF(L146="","", SUBSTITUTE(M146," Floor","") &amp; " " &amp; CHOOSE(MIN((ROW()-1)-IFERROR(INDEX(Floors!$L$2:$L$201, MATCH(ROW()-1-0.0001, Floors!$L$2:$L$201, 1)), 0), 4), "North", "South", "East", "West"))</f>
        <v/>
      </c>
      <c r="E146" s="12" t="n"/>
      <c r="F146" s="12" t="n"/>
      <c r="G146" s="12" t="n"/>
      <c r="H146" s="16" t="n"/>
      <c r="I146" s="16" t="n"/>
      <c r="J146" s="15">
        <f>IF(ROW()-1&gt;SUM(Floors!$E$2:$E$201), "", INDEX(Floors!$F$2:$F$201, IFERROR(MATCH(ROW()-1-0.0001, Floors!$L$2:$L$201, 1), 0)+1))</f>
        <v/>
      </c>
      <c r="K146" s="15">
        <f>IF(ROW()-1&gt;SUM(Floors!$E$2:$E$201), "", INDEX(Floors!$H$2:$H$201, IFERROR(MATCH(ROW()-1-0.0001, Floors!$L$2:$L$201, 1), 0)+1))</f>
        <v/>
      </c>
      <c r="L146" s="14">
        <f>IF(ROW()-1&gt;SUM(Floors!$E$2:$E$201), "", INDEX(Floors!$D$2:$D$201, IFERROR(MATCH(ROW()-1-0.0001, Floors!$L$2:$L$201, 1), 0)+1))</f>
        <v/>
      </c>
      <c r="M146" s="15">
        <f>IF(ROW()-1&gt;SUM(Floors!$E$2:$E$201), "", INDEX(Floors!$K$2:$K$201, IFERROR(MATCH(ROW()-1-0.0001, Floors!$L$2:$L$201, 1), 0)+1))</f>
        <v/>
      </c>
    </row>
    <row r="147">
      <c r="A147" s="6">
        <f>IF(J147="","",IF(J147=J146,"",J147))</f>
        <v/>
      </c>
      <c r="B147" s="6">
        <f>IF(K147="","",IF(K147=K146,"",K147))</f>
        <v/>
      </c>
      <c r="C147" s="5">
        <f>IF(L147="","",IF(L147=L146,"",L147))</f>
        <v/>
      </c>
      <c r="D147" s="6">
        <f>IF(L147="","", SUBSTITUTE(M147," Floor","") &amp; " " &amp; CHOOSE(MIN((ROW()-1)-IFERROR(INDEX(Floors!$L$2:$L$201, MATCH(ROW()-1-0.0001, Floors!$L$2:$L$201, 1)), 0), 4), "North", "South", "East", "West"))</f>
        <v/>
      </c>
      <c r="E147" s="12" t="n"/>
      <c r="F147" s="12" t="n"/>
      <c r="G147" s="12" t="n"/>
      <c r="H147" s="16" t="n"/>
      <c r="I147" s="16" t="n"/>
      <c r="J147" s="15">
        <f>IF(ROW()-1&gt;SUM(Floors!$E$2:$E$201), "", INDEX(Floors!$F$2:$F$201, IFERROR(MATCH(ROW()-1-0.0001, Floors!$L$2:$L$201, 1), 0)+1))</f>
        <v/>
      </c>
      <c r="K147" s="15">
        <f>IF(ROW()-1&gt;SUM(Floors!$E$2:$E$201), "", INDEX(Floors!$H$2:$H$201, IFERROR(MATCH(ROW()-1-0.0001, Floors!$L$2:$L$201, 1), 0)+1))</f>
        <v/>
      </c>
      <c r="L147" s="14">
        <f>IF(ROW()-1&gt;SUM(Floors!$E$2:$E$201), "", INDEX(Floors!$D$2:$D$201, IFERROR(MATCH(ROW()-1-0.0001, Floors!$L$2:$L$201, 1), 0)+1))</f>
        <v/>
      </c>
      <c r="M147" s="15">
        <f>IF(ROW()-1&gt;SUM(Floors!$E$2:$E$201), "", INDEX(Floors!$K$2:$K$201, IFERROR(MATCH(ROW()-1-0.0001, Floors!$L$2:$L$201, 1), 0)+1))</f>
        <v/>
      </c>
    </row>
    <row r="148">
      <c r="A148" s="6">
        <f>IF(J148="","",IF(J148=J147,"",J148))</f>
        <v/>
      </c>
      <c r="B148" s="6">
        <f>IF(K148="","",IF(K148=K147,"",K148))</f>
        <v/>
      </c>
      <c r="C148" s="5">
        <f>IF(L148="","",IF(L148=L147,"",L148))</f>
        <v/>
      </c>
      <c r="D148" s="6">
        <f>IF(L148="","", SUBSTITUTE(M148," Floor","") &amp; " " &amp; CHOOSE(MIN((ROW()-1)-IFERROR(INDEX(Floors!$L$2:$L$201, MATCH(ROW()-1-0.0001, Floors!$L$2:$L$201, 1)), 0), 4), "North", "South", "East", "West"))</f>
        <v/>
      </c>
      <c r="E148" s="12" t="n"/>
      <c r="F148" s="12" t="n"/>
      <c r="G148" s="12" t="n"/>
      <c r="H148" s="16" t="n"/>
      <c r="I148" s="16" t="n"/>
      <c r="J148" s="15">
        <f>IF(ROW()-1&gt;SUM(Floors!$E$2:$E$201), "", INDEX(Floors!$F$2:$F$201, IFERROR(MATCH(ROW()-1-0.0001, Floors!$L$2:$L$201, 1), 0)+1))</f>
        <v/>
      </c>
      <c r="K148" s="15">
        <f>IF(ROW()-1&gt;SUM(Floors!$E$2:$E$201), "", INDEX(Floors!$H$2:$H$201, IFERROR(MATCH(ROW()-1-0.0001, Floors!$L$2:$L$201, 1), 0)+1))</f>
        <v/>
      </c>
      <c r="L148" s="14">
        <f>IF(ROW()-1&gt;SUM(Floors!$E$2:$E$201), "", INDEX(Floors!$D$2:$D$201, IFERROR(MATCH(ROW()-1-0.0001, Floors!$L$2:$L$201, 1), 0)+1))</f>
        <v/>
      </c>
      <c r="M148" s="15">
        <f>IF(ROW()-1&gt;SUM(Floors!$E$2:$E$201), "", INDEX(Floors!$K$2:$K$201, IFERROR(MATCH(ROW()-1-0.0001, Floors!$L$2:$L$201, 1), 0)+1))</f>
        <v/>
      </c>
    </row>
    <row r="149">
      <c r="A149" s="6">
        <f>IF(J149="","",IF(J149=J148,"",J149))</f>
        <v/>
      </c>
      <c r="B149" s="6">
        <f>IF(K149="","",IF(K149=K148,"",K149))</f>
        <v/>
      </c>
      <c r="C149" s="5">
        <f>IF(L149="","",IF(L149=L148,"",L149))</f>
        <v/>
      </c>
      <c r="D149" s="6">
        <f>IF(L149="","", SUBSTITUTE(M149," Floor","") &amp; " " &amp; CHOOSE(MIN((ROW()-1)-IFERROR(INDEX(Floors!$L$2:$L$201, MATCH(ROW()-1-0.0001, Floors!$L$2:$L$201, 1)), 0), 4), "North", "South", "East", "West"))</f>
        <v/>
      </c>
      <c r="E149" s="12" t="n"/>
      <c r="F149" s="12" t="n"/>
      <c r="G149" s="12" t="n"/>
      <c r="H149" s="16" t="n"/>
      <c r="I149" s="16" t="n"/>
      <c r="J149" s="15">
        <f>IF(ROW()-1&gt;SUM(Floors!$E$2:$E$201), "", INDEX(Floors!$F$2:$F$201, IFERROR(MATCH(ROW()-1-0.0001, Floors!$L$2:$L$201, 1), 0)+1))</f>
        <v/>
      </c>
      <c r="K149" s="15">
        <f>IF(ROW()-1&gt;SUM(Floors!$E$2:$E$201), "", INDEX(Floors!$H$2:$H$201, IFERROR(MATCH(ROW()-1-0.0001, Floors!$L$2:$L$201, 1), 0)+1))</f>
        <v/>
      </c>
      <c r="L149" s="14">
        <f>IF(ROW()-1&gt;SUM(Floors!$E$2:$E$201), "", INDEX(Floors!$D$2:$D$201, IFERROR(MATCH(ROW()-1-0.0001, Floors!$L$2:$L$201, 1), 0)+1))</f>
        <v/>
      </c>
      <c r="M149" s="15">
        <f>IF(ROW()-1&gt;SUM(Floors!$E$2:$E$201), "", INDEX(Floors!$K$2:$K$201, IFERROR(MATCH(ROW()-1-0.0001, Floors!$L$2:$L$201, 1), 0)+1))</f>
        <v/>
      </c>
    </row>
    <row r="150">
      <c r="A150" s="6">
        <f>IF(J150="","",IF(J150=J149,"",J150))</f>
        <v/>
      </c>
      <c r="B150" s="6">
        <f>IF(K150="","",IF(K150=K149,"",K150))</f>
        <v/>
      </c>
      <c r="C150" s="5">
        <f>IF(L150="","",IF(L150=L149,"",L150))</f>
        <v/>
      </c>
      <c r="D150" s="6">
        <f>IF(L150="","", SUBSTITUTE(M150," Floor","") &amp; " " &amp; CHOOSE(MIN((ROW()-1)-IFERROR(INDEX(Floors!$L$2:$L$201, MATCH(ROW()-1-0.0001, Floors!$L$2:$L$201, 1)), 0), 4), "North", "South", "East", "West"))</f>
        <v/>
      </c>
      <c r="E150" s="12" t="n"/>
      <c r="F150" s="12" t="n"/>
      <c r="G150" s="12" t="n"/>
      <c r="H150" s="16" t="n"/>
      <c r="I150" s="16" t="n"/>
      <c r="J150" s="15">
        <f>IF(ROW()-1&gt;SUM(Floors!$E$2:$E$201), "", INDEX(Floors!$F$2:$F$201, IFERROR(MATCH(ROW()-1-0.0001, Floors!$L$2:$L$201, 1), 0)+1))</f>
        <v/>
      </c>
      <c r="K150" s="15">
        <f>IF(ROW()-1&gt;SUM(Floors!$E$2:$E$201), "", INDEX(Floors!$H$2:$H$201, IFERROR(MATCH(ROW()-1-0.0001, Floors!$L$2:$L$201, 1), 0)+1))</f>
        <v/>
      </c>
      <c r="L150" s="14">
        <f>IF(ROW()-1&gt;SUM(Floors!$E$2:$E$201), "", INDEX(Floors!$D$2:$D$201, IFERROR(MATCH(ROW()-1-0.0001, Floors!$L$2:$L$201, 1), 0)+1))</f>
        <v/>
      </c>
      <c r="M150" s="15">
        <f>IF(ROW()-1&gt;SUM(Floors!$E$2:$E$201), "", INDEX(Floors!$K$2:$K$201, IFERROR(MATCH(ROW()-1-0.0001, Floors!$L$2:$L$201, 1), 0)+1))</f>
        <v/>
      </c>
    </row>
    <row r="151">
      <c r="A151" s="6">
        <f>IF(J151="","",IF(J151=J150,"",J151))</f>
        <v/>
      </c>
      <c r="B151" s="6">
        <f>IF(K151="","",IF(K151=K150,"",K151))</f>
        <v/>
      </c>
      <c r="C151" s="5">
        <f>IF(L151="","",IF(L151=L150,"",L151))</f>
        <v/>
      </c>
      <c r="D151" s="6">
        <f>IF(L151="","", SUBSTITUTE(M151," Floor","") &amp; " " &amp; CHOOSE(MIN((ROW()-1)-IFERROR(INDEX(Floors!$L$2:$L$201, MATCH(ROW()-1-0.0001, Floors!$L$2:$L$201, 1)), 0), 4), "North", "South", "East", "West"))</f>
        <v/>
      </c>
      <c r="E151" s="12" t="n"/>
      <c r="F151" s="12" t="n"/>
      <c r="G151" s="12" t="n"/>
      <c r="H151" s="16" t="n"/>
      <c r="I151" s="16" t="n"/>
      <c r="J151" s="15">
        <f>IF(ROW()-1&gt;SUM(Floors!$E$2:$E$201), "", INDEX(Floors!$F$2:$F$201, IFERROR(MATCH(ROW()-1-0.0001, Floors!$L$2:$L$201, 1), 0)+1))</f>
        <v/>
      </c>
      <c r="K151" s="15">
        <f>IF(ROW()-1&gt;SUM(Floors!$E$2:$E$201), "", INDEX(Floors!$H$2:$H$201, IFERROR(MATCH(ROW()-1-0.0001, Floors!$L$2:$L$201, 1), 0)+1))</f>
        <v/>
      </c>
      <c r="L151" s="14">
        <f>IF(ROW()-1&gt;SUM(Floors!$E$2:$E$201), "", INDEX(Floors!$D$2:$D$201, IFERROR(MATCH(ROW()-1-0.0001, Floors!$L$2:$L$201, 1), 0)+1))</f>
        <v/>
      </c>
      <c r="M151" s="15">
        <f>IF(ROW()-1&gt;SUM(Floors!$E$2:$E$201), "", INDEX(Floors!$K$2:$K$201, IFERROR(MATCH(ROW()-1-0.0001, Floors!$L$2:$L$201, 1), 0)+1))</f>
        <v/>
      </c>
    </row>
    <row r="152">
      <c r="A152" s="6">
        <f>IF(J152="","",IF(J152=J151,"",J152))</f>
        <v/>
      </c>
      <c r="B152" s="6">
        <f>IF(K152="","",IF(K152=K151,"",K152))</f>
        <v/>
      </c>
      <c r="C152" s="5">
        <f>IF(L152="","",IF(L152=L151,"",L152))</f>
        <v/>
      </c>
      <c r="D152" s="6">
        <f>IF(L152="","", SUBSTITUTE(M152," Floor","") &amp; " " &amp; CHOOSE(MIN((ROW()-1)-IFERROR(INDEX(Floors!$L$2:$L$201, MATCH(ROW()-1-0.0001, Floors!$L$2:$L$201, 1)), 0), 4), "North", "South", "East", "West"))</f>
        <v/>
      </c>
      <c r="E152" s="12" t="n"/>
      <c r="F152" s="12" t="n"/>
      <c r="G152" s="12" t="n"/>
      <c r="H152" s="16" t="n"/>
      <c r="I152" s="16" t="n"/>
      <c r="J152" s="15">
        <f>IF(ROW()-1&gt;SUM(Floors!$E$2:$E$201), "", INDEX(Floors!$F$2:$F$201, IFERROR(MATCH(ROW()-1-0.0001, Floors!$L$2:$L$201, 1), 0)+1))</f>
        <v/>
      </c>
      <c r="K152" s="15">
        <f>IF(ROW()-1&gt;SUM(Floors!$E$2:$E$201), "", INDEX(Floors!$H$2:$H$201, IFERROR(MATCH(ROW()-1-0.0001, Floors!$L$2:$L$201, 1), 0)+1))</f>
        <v/>
      </c>
      <c r="L152" s="14">
        <f>IF(ROW()-1&gt;SUM(Floors!$E$2:$E$201), "", INDEX(Floors!$D$2:$D$201, IFERROR(MATCH(ROW()-1-0.0001, Floors!$L$2:$L$201, 1), 0)+1))</f>
        <v/>
      </c>
      <c r="M152" s="15">
        <f>IF(ROW()-1&gt;SUM(Floors!$E$2:$E$201), "", INDEX(Floors!$K$2:$K$201, IFERROR(MATCH(ROW()-1-0.0001, Floors!$L$2:$L$201, 1), 0)+1))</f>
        <v/>
      </c>
    </row>
    <row r="153">
      <c r="A153" s="6">
        <f>IF(J153="","",IF(J153=J152,"",J153))</f>
        <v/>
      </c>
      <c r="B153" s="6">
        <f>IF(K153="","",IF(K153=K152,"",K153))</f>
        <v/>
      </c>
      <c r="C153" s="5">
        <f>IF(L153="","",IF(L153=L152,"",L153))</f>
        <v/>
      </c>
      <c r="D153" s="6">
        <f>IF(L153="","", SUBSTITUTE(M153," Floor","") &amp; " " &amp; CHOOSE(MIN((ROW()-1)-IFERROR(INDEX(Floors!$L$2:$L$201, MATCH(ROW()-1-0.0001, Floors!$L$2:$L$201, 1)), 0), 4), "North", "South", "East", "West"))</f>
        <v/>
      </c>
      <c r="E153" s="12" t="n"/>
      <c r="F153" s="12" t="n"/>
      <c r="G153" s="12" t="n"/>
      <c r="H153" s="16" t="n"/>
      <c r="I153" s="16" t="n"/>
      <c r="J153" s="15">
        <f>IF(ROW()-1&gt;SUM(Floors!$E$2:$E$201), "", INDEX(Floors!$F$2:$F$201, IFERROR(MATCH(ROW()-1-0.0001, Floors!$L$2:$L$201, 1), 0)+1))</f>
        <v/>
      </c>
      <c r="K153" s="15">
        <f>IF(ROW()-1&gt;SUM(Floors!$E$2:$E$201), "", INDEX(Floors!$H$2:$H$201, IFERROR(MATCH(ROW()-1-0.0001, Floors!$L$2:$L$201, 1), 0)+1))</f>
        <v/>
      </c>
      <c r="L153" s="14">
        <f>IF(ROW()-1&gt;SUM(Floors!$E$2:$E$201), "", INDEX(Floors!$D$2:$D$201, IFERROR(MATCH(ROW()-1-0.0001, Floors!$L$2:$L$201, 1), 0)+1))</f>
        <v/>
      </c>
      <c r="M153" s="15">
        <f>IF(ROW()-1&gt;SUM(Floors!$E$2:$E$201), "", INDEX(Floors!$K$2:$K$201, IFERROR(MATCH(ROW()-1-0.0001, Floors!$L$2:$L$201, 1), 0)+1))</f>
        <v/>
      </c>
    </row>
    <row r="154">
      <c r="A154" s="6">
        <f>IF(J154="","",IF(J154=J153,"",J154))</f>
        <v/>
      </c>
      <c r="B154" s="6">
        <f>IF(K154="","",IF(K154=K153,"",K154))</f>
        <v/>
      </c>
      <c r="C154" s="5">
        <f>IF(L154="","",IF(L154=L153,"",L154))</f>
        <v/>
      </c>
      <c r="D154" s="6">
        <f>IF(L154="","", SUBSTITUTE(M154," Floor","") &amp; " " &amp; CHOOSE(MIN((ROW()-1)-IFERROR(INDEX(Floors!$L$2:$L$201, MATCH(ROW()-1-0.0001, Floors!$L$2:$L$201, 1)), 0), 4), "North", "South", "East", "West"))</f>
        <v/>
      </c>
      <c r="E154" s="12" t="n"/>
      <c r="F154" s="12" t="n"/>
      <c r="G154" s="12" t="n"/>
      <c r="H154" s="16" t="n"/>
      <c r="I154" s="16" t="n"/>
      <c r="J154" s="15">
        <f>IF(ROW()-1&gt;SUM(Floors!$E$2:$E$201), "", INDEX(Floors!$F$2:$F$201, IFERROR(MATCH(ROW()-1-0.0001, Floors!$L$2:$L$201, 1), 0)+1))</f>
        <v/>
      </c>
      <c r="K154" s="15">
        <f>IF(ROW()-1&gt;SUM(Floors!$E$2:$E$201), "", INDEX(Floors!$H$2:$H$201, IFERROR(MATCH(ROW()-1-0.0001, Floors!$L$2:$L$201, 1), 0)+1))</f>
        <v/>
      </c>
      <c r="L154" s="14">
        <f>IF(ROW()-1&gt;SUM(Floors!$E$2:$E$201), "", INDEX(Floors!$D$2:$D$201, IFERROR(MATCH(ROW()-1-0.0001, Floors!$L$2:$L$201, 1), 0)+1))</f>
        <v/>
      </c>
      <c r="M154" s="15">
        <f>IF(ROW()-1&gt;SUM(Floors!$E$2:$E$201), "", INDEX(Floors!$K$2:$K$201, IFERROR(MATCH(ROW()-1-0.0001, Floors!$L$2:$L$201, 1), 0)+1))</f>
        <v/>
      </c>
    </row>
    <row r="155">
      <c r="A155" s="6">
        <f>IF(J155="","",IF(J155=J154,"",J155))</f>
        <v/>
      </c>
      <c r="B155" s="6">
        <f>IF(K155="","",IF(K155=K154,"",K155))</f>
        <v/>
      </c>
      <c r="C155" s="5">
        <f>IF(L155="","",IF(L155=L154,"",L155))</f>
        <v/>
      </c>
      <c r="D155" s="6">
        <f>IF(L155="","", SUBSTITUTE(M155," Floor","") &amp; " " &amp; CHOOSE(MIN((ROW()-1)-IFERROR(INDEX(Floors!$L$2:$L$201, MATCH(ROW()-1-0.0001, Floors!$L$2:$L$201, 1)), 0), 4), "North", "South", "East", "West"))</f>
        <v/>
      </c>
      <c r="E155" s="12" t="n"/>
      <c r="F155" s="12" t="n"/>
      <c r="G155" s="12" t="n"/>
      <c r="H155" s="16" t="n"/>
      <c r="I155" s="16" t="n"/>
      <c r="J155" s="15">
        <f>IF(ROW()-1&gt;SUM(Floors!$E$2:$E$201), "", INDEX(Floors!$F$2:$F$201, IFERROR(MATCH(ROW()-1-0.0001, Floors!$L$2:$L$201, 1), 0)+1))</f>
        <v/>
      </c>
      <c r="K155" s="15">
        <f>IF(ROW()-1&gt;SUM(Floors!$E$2:$E$201), "", INDEX(Floors!$H$2:$H$201, IFERROR(MATCH(ROW()-1-0.0001, Floors!$L$2:$L$201, 1), 0)+1))</f>
        <v/>
      </c>
      <c r="L155" s="14">
        <f>IF(ROW()-1&gt;SUM(Floors!$E$2:$E$201), "", INDEX(Floors!$D$2:$D$201, IFERROR(MATCH(ROW()-1-0.0001, Floors!$L$2:$L$201, 1), 0)+1))</f>
        <v/>
      </c>
      <c r="M155" s="15">
        <f>IF(ROW()-1&gt;SUM(Floors!$E$2:$E$201), "", INDEX(Floors!$K$2:$K$201, IFERROR(MATCH(ROW()-1-0.0001, Floors!$L$2:$L$201, 1), 0)+1))</f>
        <v/>
      </c>
    </row>
    <row r="156">
      <c r="A156" s="6">
        <f>IF(J156="","",IF(J156=J155,"",J156))</f>
        <v/>
      </c>
      <c r="B156" s="6">
        <f>IF(K156="","",IF(K156=K155,"",K156))</f>
        <v/>
      </c>
      <c r="C156" s="5">
        <f>IF(L156="","",IF(L156=L155,"",L156))</f>
        <v/>
      </c>
      <c r="D156" s="6">
        <f>IF(L156="","", SUBSTITUTE(M156," Floor","") &amp; " " &amp; CHOOSE(MIN((ROW()-1)-IFERROR(INDEX(Floors!$L$2:$L$201, MATCH(ROW()-1-0.0001, Floors!$L$2:$L$201, 1)), 0), 4), "North", "South", "East", "West"))</f>
        <v/>
      </c>
      <c r="E156" s="12" t="n"/>
      <c r="F156" s="12" t="n"/>
      <c r="G156" s="12" t="n"/>
      <c r="H156" s="16" t="n"/>
      <c r="I156" s="16" t="n"/>
      <c r="J156" s="15">
        <f>IF(ROW()-1&gt;SUM(Floors!$E$2:$E$201), "", INDEX(Floors!$F$2:$F$201, IFERROR(MATCH(ROW()-1-0.0001, Floors!$L$2:$L$201, 1), 0)+1))</f>
        <v/>
      </c>
      <c r="K156" s="15">
        <f>IF(ROW()-1&gt;SUM(Floors!$E$2:$E$201), "", INDEX(Floors!$H$2:$H$201, IFERROR(MATCH(ROW()-1-0.0001, Floors!$L$2:$L$201, 1), 0)+1))</f>
        <v/>
      </c>
      <c r="L156" s="14">
        <f>IF(ROW()-1&gt;SUM(Floors!$E$2:$E$201), "", INDEX(Floors!$D$2:$D$201, IFERROR(MATCH(ROW()-1-0.0001, Floors!$L$2:$L$201, 1), 0)+1))</f>
        <v/>
      </c>
      <c r="M156" s="15">
        <f>IF(ROW()-1&gt;SUM(Floors!$E$2:$E$201), "", INDEX(Floors!$K$2:$K$201, IFERROR(MATCH(ROW()-1-0.0001, Floors!$L$2:$L$201, 1), 0)+1))</f>
        <v/>
      </c>
    </row>
    <row r="157">
      <c r="A157" s="6">
        <f>IF(J157="","",IF(J157=J156,"",J157))</f>
        <v/>
      </c>
      <c r="B157" s="6">
        <f>IF(K157="","",IF(K157=K156,"",K157))</f>
        <v/>
      </c>
      <c r="C157" s="5">
        <f>IF(L157="","",IF(L157=L156,"",L157))</f>
        <v/>
      </c>
      <c r="D157" s="6">
        <f>IF(L157="","", SUBSTITUTE(M157," Floor","") &amp; " " &amp; CHOOSE(MIN((ROW()-1)-IFERROR(INDEX(Floors!$L$2:$L$201, MATCH(ROW()-1-0.0001, Floors!$L$2:$L$201, 1)), 0), 4), "North", "South", "East", "West"))</f>
        <v/>
      </c>
      <c r="E157" s="12" t="n"/>
      <c r="F157" s="12" t="n"/>
      <c r="G157" s="12" t="n"/>
      <c r="H157" s="16" t="n"/>
      <c r="I157" s="16" t="n"/>
      <c r="J157" s="15">
        <f>IF(ROW()-1&gt;SUM(Floors!$E$2:$E$201), "", INDEX(Floors!$F$2:$F$201, IFERROR(MATCH(ROW()-1-0.0001, Floors!$L$2:$L$201, 1), 0)+1))</f>
        <v/>
      </c>
      <c r="K157" s="15">
        <f>IF(ROW()-1&gt;SUM(Floors!$E$2:$E$201), "", INDEX(Floors!$H$2:$H$201, IFERROR(MATCH(ROW()-1-0.0001, Floors!$L$2:$L$201, 1), 0)+1))</f>
        <v/>
      </c>
      <c r="L157" s="14">
        <f>IF(ROW()-1&gt;SUM(Floors!$E$2:$E$201), "", INDEX(Floors!$D$2:$D$201, IFERROR(MATCH(ROW()-1-0.0001, Floors!$L$2:$L$201, 1), 0)+1))</f>
        <v/>
      </c>
      <c r="M157" s="15">
        <f>IF(ROW()-1&gt;SUM(Floors!$E$2:$E$201), "", INDEX(Floors!$K$2:$K$201, IFERROR(MATCH(ROW()-1-0.0001, Floors!$L$2:$L$201, 1), 0)+1))</f>
        <v/>
      </c>
    </row>
    <row r="158">
      <c r="A158" s="6">
        <f>IF(J158="","",IF(J158=J157,"",J158))</f>
        <v/>
      </c>
      <c r="B158" s="6">
        <f>IF(K158="","",IF(K158=K157,"",K158))</f>
        <v/>
      </c>
      <c r="C158" s="5">
        <f>IF(L158="","",IF(L158=L157,"",L158))</f>
        <v/>
      </c>
      <c r="D158" s="6">
        <f>IF(L158="","", SUBSTITUTE(M158," Floor","") &amp; " " &amp; CHOOSE(MIN((ROW()-1)-IFERROR(INDEX(Floors!$L$2:$L$201, MATCH(ROW()-1-0.0001, Floors!$L$2:$L$201, 1)), 0), 4), "North", "South", "East", "West"))</f>
        <v/>
      </c>
      <c r="E158" s="12" t="n"/>
      <c r="F158" s="12" t="n"/>
      <c r="G158" s="12" t="n"/>
      <c r="H158" s="16" t="n"/>
      <c r="I158" s="16" t="n"/>
      <c r="J158" s="15">
        <f>IF(ROW()-1&gt;SUM(Floors!$E$2:$E$201), "", INDEX(Floors!$F$2:$F$201, IFERROR(MATCH(ROW()-1-0.0001, Floors!$L$2:$L$201, 1), 0)+1))</f>
        <v/>
      </c>
      <c r="K158" s="15">
        <f>IF(ROW()-1&gt;SUM(Floors!$E$2:$E$201), "", INDEX(Floors!$H$2:$H$201, IFERROR(MATCH(ROW()-1-0.0001, Floors!$L$2:$L$201, 1), 0)+1))</f>
        <v/>
      </c>
      <c r="L158" s="14">
        <f>IF(ROW()-1&gt;SUM(Floors!$E$2:$E$201), "", INDEX(Floors!$D$2:$D$201, IFERROR(MATCH(ROW()-1-0.0001, Floors!$L$2:$L$201, 1), 0)+1))</f>
        <v/>
      </c>
      <c r="M158" s="15">
        <f>IF(ROW()-1&gt;SUM(Floors!$E$2:$E$201), "", INDEX(Floors!$K$2:$K$201, IFERROR(MATCH(ROW()-1-0.0001, Floors!$L$2:$L$201, 1), 0)+1))</f>
        <v/>
      </c>
    </row>
    <row r="159">
      <c r="A159" s="6">
        <f>IF(J159="","",IF(J159=J158,"",J159))</f>
        <v/>
      </c>
      <c r="B159" s="6">
        <f>IF(K159="","",IF(K159=K158,"",K159))</f>
        <v/>
      </c>
      <c r="C159" s="5">
        <f>IF(L159="","",IF(L159=L158,"",L159))</f>
        <v/>
      </c>
      <c r="D159" s="6">
        <f>IF(L159="","", SUBSTITUTE(M159," Floor","") &amp; " " &amp; CHOOSE(MIN((ROW()-1)-IFERROR(INDEX(Floors!$L$2:$L$201, MATCH(ROW()-1-0.0001, Floors!$L$2:$L$201, 1)), 0), 4), "North", "South", "East", "West"))</f>
        <v/>
      </c>
      <c r="E159" s="12" t="n"/>
      <c r="F159" s="12" t="n"/>
      <c r="G159" s="12" t="n"/>
      <c r="H159" s="16" t="n"/>
      <c r="I159" s="16" t="n"/>
      <c r="J159" s="15">
        <f>IF(ROW()-1&gt;SUM(Floors!$E$2:$E$201), "", INDEX(Floors!$F$2:$F$201, IFERROR(MATCH(ROW()-1-0.0001, Floors!$L$2:$L$201, 1), 0)+1))</f>
        <v/>
      </c>
      <c r="K159" s="15">
        <f>IF(ROW()-1&gt;SUM(Floors!$E$2:$E$201), "", INDEX(Floors!$H$2:$H$201, IFERROR(MATCH(ROW()-1-0.0001, Floors!$L$2:$L$201, 1), 0)+1))</f>
        <v/>
      </c>
      <c r="L159" s="14">
        <f>IF(ROW()-1&gt;SUM(Floors!$E$2:$E$201), "", INDEX(Floors!$D$2:$D$201, IFERROR(MATCH(ROW()-1-0.0001, Floors!$L$2:$L$201, 1), 0)+1))</f>
        <v/>
      </c>
      <c r="M159" s="15">
        <f>IF(ROW()-1&gt;SUM(Floors!$E$2:$E$201), "", INDEX(Floors!$K$2:$K$201, IFERROR(MATCH(ROW()-1-0.0001, Floors!$L$2:$L$201, 1), 0)+1))</f>
        <v/>
      </c>
    </row>
    <row r="160">
      <c r="A160" s="6">
        <f>IF(J160="","",IF(J160=J159,"",J160))</f>
        <v/>
      </c>
      <c r="B160" s="6">
        <f>IF(K160="","",IF(K160=K159,"",K160))</f>
        <v/>
      </c>
      <c r="C160" s="5">
        <f>IF(L160="","",IF(L160=L159,"",L160))</f>
        <v/>
      </c>
      <c r="D160" s="6">
        <f>IF(L160="","", SUBSTITUTE(M160," Floor","") &amp; " " &amp; CHOOSE(MIN((ROW()-1)-IFERROR(INDEX(Floors!$L$2:$L$201, MATCH(ROW()-1-0.0001, Floors!$L$2:$L$201, 1)), 0), 4), "North", "South", "East", "West"))</f>
        <v/>
      </c>
      <c r="E160" s="12" t="n"/>
      <c r="F160" s="12" t="n"/>
      <c r="G160" s="12" t="n"/>
      <c r="H160" s="16" t="n"/>
      <c r="I160" s="16" t="n"/>
      <c r="J160" s="15">
        <f>IF(ROW()-1&gt;SUM(Floors!$E$2:$E$201), "", INDEX(Floors!$F$2:$F$201, IFERROR(MATCH(ROW()-1-0.0001, Floors!$L$2:$L$201, 1), 0)+1))</f>
        <v/>
      </c>
      <c r="K160" s="15">
        <f>IF(ROW()-1&gt;SUM(Floors!$E$2:$E$201), "", INDEX(Floors!$H$2:$H$201, IFERROR(MATCH(ROW()-1-0.0001, Floors!$L$2:$L$201, 1), 0)+1))</f>
        <v/>
      </c>
      <c r="L160" s="14">
        <f>IF(ROW()-1&gt;SUM(Floors!$E$2:$E$201), "", INDEX(Floors!$D$2:$D$201, IFERROR(MATCH(ROW()-1-0.0001, Floors!$L$2:$L$201, 1), 0)+1))</f>
        <v/>
      </c>
      <c r="M160" s="15">
        <f>IF(ROW()-1&gt;SUM(Floors!$E$2:$E$201), "", INDEX(Floors!$K$2:$K$201, IFERROR(MATCH(ROW()-1-0.0001, Floors!$L$2:$L$201, 1), 0)+1))</f>
        <v/>
      </c>
    </row>
    <row r="161">
      <c r="A161" s="6">
        <f>IF(J161="","",IF(J161=J160,"",J161))</f>
        <v/>
      </c>
      <c r="B161" s="6">
        <f>IF(K161="","",IF(K161=K160,"",K161))</f>
        <v/>
      </c>
      <c r="C161" s="5">
        <f>IF(L161="","",IF(L161=L160,"",L161))</f>
        <v/>
      </c>
      <c r="D161" s="6">
        <f>IF(L161="","", SUBSTITUTE(M161," Floor","") &amp; " " &amp; CHOOSE(MIN((ROW()-1)-IFERROR(INDEX(Floors!$L$2:$L$201, MATCH(ROW()-1-0.0001, Floors!$L$2:$L$201, 1)), 0), 4), "North", "South", "East", "West"))</f>
        <v/>
      </c>
      <c r="E161" s="12" t="n"/>
      <c r="F161" s="12" t="n"/>
      <c r="G161" s="12" t="n"/>
      <c r="H161" s="16" t="n"/>
      <c r="I161" s="16" t="n"/>
      <c r="J161" s="15">
        <f>IF(ROW()-1&gt;SUM(Floors!$E$2:$E$201), "", INDEX(Floors!$F$2:$F$201, IFERROR(MATCH(ROW()-1-0.0001, Floors!$L$2:$L$201, 1), 0)+1))</f>
        <v/>
      </c>
      <c r="K161" s="15">
        <f>IF(ROW()-1&gt;SUM(Floors!$E$2:$E$201), "", INDEX(Floors!$H$2:$H$201, IFERROR(MATCH(ROW()-1-0.0001, Floors!$L$2:$L$201, 1), 0)+1))</f>
        <v/>
      </c>
      <c r="L161" s="14">
        <f>IF(ROW()-1&gt;SUM(Floors!$E$2:$E$201), "", INDEX(Floors!$D$2:$D$201, IFERROR(MATCH(ROW()-1-0.0001, Floors!$L$2:$L$201, 1), 0)+1))</f>
        <v/>
      </c>
      <c r="M161" s="15">
        <f>IF(ROW()-1&gt;SUM(Floors!$E$2:$E$201), "", INDEX(Floors!$K$2:$K$201, IFERROR(MATCH(ROW()-1-0.0001, Floors!$L$2:$L$201, 1), 0)+1))</f>
        <v/>
      </c>
    </row>
    <row r="162">
      <c r="A162" s="6">
        <f>IF(J162="","",IF(J162=J161,"",J162))</f>
        <v/>
      </c>
      <c r="B162" s="6">
        <f>IF(K162="","",IF(K162=K161,"",K162))</f>
        <v/>
      </c>
      <c r="C162" s="5">
        <f>IF(L162="","",IF(L162=L161,"",L162))</f>
        <v/>
      </c>
      <c r="D162" s="6">
        <f>IF(L162="","", SUBSTITUTE(M162," Floor","") &amp; " " &amp; CHOOSE(MIN((ROW()-1)-IFERROR(INDEX(Floors!$L$2:$L$201, MATCH(ROW()-1-0.0001, Floors!$L$2:$L$201, 1)), 0), 4), "North", "South", "East", "West"))</f>
        <v/>
      </c>
      <c r="E162" s="12" t="n"/>
      <c r="F162" s="12" t="n"/>
      <c r="G162" s="12" t="n"/>
      <c r="H162" s="16" t="n"/>
      <c r="I162" s="16" t="n"/>
      <c r="J162" s="15">
        <f>IF(ROW()-1&gt;SUM(Floors!$E$2:$E$201), "", INDEX(Floors!$F$2:$F$201, IFERROR(MATCH(ROW()-1-0.0001, Floors!$L$2:$L$201, 1), 0)+1))</f>
        <v/>
      </c>
      <c r="K162" s="15">
        <f>IF(ROW()-1&gt;SUM(Floors!$E$2:$E$201), "", INDEX(Floors!$H$2:$H$201, IFERROR(MATCH(ROW()-1-0.0001, Floors!$L$2:$L$201, 1), 0)+1))</f>
        <v/>
      </c>
      <c r="L162" s="14">
        <f>IF(ROW()-1&gt;SUM(Floors!$E$2:$E$201), "", INDEX(Floors!$D$2:$D$201, IFERROR(MATCH(ROW()-1-0.0001, Floors!$L$2:$L$201, 1), 0)+1))</f>
        <v/>
      </c>
      <c r="M162" s="15">
        <f>IF(ROW()-1&gt;SUM(Floors!$E$2:$E$201), "", INDEX(Floors!$K$2:$K$201, IFERROR(MATCH(ROW()-1-0.0001, Floors!$L$2:$L$201, 1), 0)+1))</f>
        <v/>
      </c>
    </row>
    <row r="163">
      <c r="A163" s="6">
        <f>IF(J163="","",IF(J163=J162,"",J163))</f>
        <v/>
      </c>
      <c r="B163" s="6">
        <f>IF(K163="","",IF(K163=K162,"",K163))</f>
        <v/>
      </c>
      <c r="C163" s="5">
        <f>IF(L163="","",IF(L163=L162,"",L163))</f>
        <v/>
      </c>
      <c r="D163" s="6">
        <f>IF(L163="","", SUBSTITUTE(M163," Floor","") &amp; " " &amp; CHOOSE(MIN((ROW()-1)-IFERROR(INDEX(Floors!$L$2:$L$201, MATCH(ROW()-1-0.0001, Floors!$L$2:$L$201, 1)), 0), 4), "North", "South", "East", "West"))</f>
        <v/>
      </c>
      <c r="E163" s="12" t="n"/>
      <c r="F163" s="12" t="n"/>
      <c r="G163" s="12" t="n"/>
      <c r="H163" s="16" t="n"/>
      <c r="I163" s="16" t="n"/>
      <c r="J163" s="15">
        <f>IF(ROW()-1&gt;SUM(Floors!$E$2:$E$201), "", INDEX(Floors!$F$2:$F$201, IFERROR(MATCH(ROW()-1-0.0001, Floors!$L$2:$L$201, 1), 0)+1))</f>
        <v/>
      </c>
      <c r="K163" s="15">
        <f>IF(ROW()-1&gt;SUM(Floors!$E$2:$E$201), "", INDEX(Floors!$H$2:$H$201, IFERROR(MATCH(ROW()-1-0.0001, Floors!$L$2:$L$201, 1), 0)+1))</f>
        <v/>
      </c>
      <c r="L163" s="14">
        <f>IF(ROW()-1&gt;SUM(Floors!$E$2:$E$201), "", INDEX(Floors!$D$2:$D$201, IFERROR(MATCH(ROW()-1-0.0001, Floors!$L$2:$L$201, 1), 0)+1))</f>
        <v/>
      </c>
      <c r="M163" s="15">
        <f>IF(ROW()-1&gt;SUM(Floors!$E$2:$E$201), "", INDEX(Floors!$K$2:$K$201, IFERROR(MATCH(ROW()-1-0.0001, Floors!$L$2:$L$201, 1), 0)+1))</f>
        <v/>
      </c>
    </row>
    <row r="164">
      <c r="A164" s="6">
        <f>IF(J164="","",IF(J164=J163,"",J164))</f>
        <v/>
      </c>
      <c r="B164" s="6">
        <f>IF(K164="","",IF(K164=K163,"",K164))</f>
        <v/>
      </c>
      <c r="C164" s="5">
        <f>IF(L164="","",IF(L164=L163,"",L164))</f>
        <v/>
      </c>
      <c r="D164" s="6">
        <f>IF(L164="","", SUBSTITUTE(M164," Floor","") &amp; " " &amp; CHOOSE(MIN((ROW()-1)-IFERROR(INDEX(Floors!$L$2:$L$201, MATCH(ROW()-1-0.0001, Floors!$L$2:$L$201, 1)), 0), 4), "North", "South", "East", "West"))</f>
        <v/>
      </c>
      <c r="E164" s="12" t="n"/>
      <c r="F164" s="12" t="n"/>
      <c r="G164" s="12" t="n"/>
      <c r="H164" s="16" t="n"/>
      <c r="I164" s="16" t="n"/>
      <c r="J164" s="15">
        <f>IF(ROW()-1&gt;SUM(Floors!$E$2:$E$201), "", INDEX(Floors!$F$2:$F$201, IFERROR(MATCH(ROW()-1-0.0001, Floors!$L$2:$L$201, 1), 0)+1))</f>
        <v/>
      </c>
      <c r="K164" s="15">
        <f>IF(ROW()-1&gt;SUM(Floors!$E$2:$E$201), "", INDEX(Floors!$H$2:$H$201, IFERROR(MATCH(ROW()-1-0.0001, Floors!$L$2:$L$201, 1), 0)+1))</f>
        <v/>
      </c>
      <c r="L164" s="14">
        <f>IF(ROW()-1&gt;SUM(Floors!$E$2:$E$201), "", INDEX(Floors!$D$2:$D$201, IFERROR(MATCH(ROW()-1-0.0001, Floors!$L$2:$L$201, 1), 0)+1))</f>
        <v/>
      </c>
      <c r="M164" s="15">
        <f>IF(ROW()-1&gt;SUM(Floors!$E$2:$E$201), "", INDEX(Floors!$K$2:$K$201, IFERROR(MATCH(ROW()-1-0.0001, Floors!$L$2:$L$201, 1), 0)+1))</f>
        <v/>
      </c>
    </row>
    <row r="165">
      <c r="A165" s="6">
        <f>IF(J165="","",IF(J165=J164,"",J165))</f>
        <v/>
      </c>
      <c r="B165" s="6">
        <f>IF(K165="","",IF(K165=K164,"",K165))</f>
        <v/>
      </c>
      <c r="C165" s="5">
        <f>IF(L165="","",IF(L165=L164,"",L165))</f>
        <v/>
      </c>
      <c r="D165" s="6">
        <f>IF(L165="","", SUBSTITUTE(M165," Floor","") &amp; " " &amp; CHOOSE(MIN((ROW()-1)-IFERROR(INDEX(Floors!$L$2:$L$201, MATCH(ROW()-1-0.0001, Floors!$L$2:$L$201, 1)), 0), 4), "North", "South", "East", "West"))</f>
        <v/>
      </c>
      <c r="E165" s="12" t="n"/>
      <c r="F165" s="12" t="n"/>
      <c r="G165" s="12" t="n"/>
      <c r="H165" s="16" t="n"/>
      <c r="I165" s="16" t="n"/>
      <c r="J165" s="15">
        <f>IF(ROW()-1&gt;SUM(Floors!$E$2:$E$201), "", INDEX(Floors!$F$2:$F$201, IFERROR(MATCH(ROW()-1-0.0001, Floors!$L$2:$L$201, 1), 0)+1))</f>
        <v/>
      </c>
      <c r="K165" s="15">
        <f>IF(ROW()-1&gt;SUM(Floors!$E$2:$E$201), "", INDEX(Floors!$H$2:$H$201, IFERROR(MATCH(ROW()-1-0.0001, Floors!$L$2:$L$201, 1), 0)+1))</f>
        <v/>
      </c>
      <c r="L165" s="14">
        <f>IF(ROW()-1&gt;SUM(Floors!$E$2:$E$201), "", INDEX(Floors!$D$2:$D$201, IFERROR(MATCH(ROW()-1-0.0001, Floors!$L$2:$L$201, 1), 0)+1))</f>
        <v/>
      </c>
      <c r="M165" s="15">
        <f>IF(ROW()-1&gt;SUM(Floors!$E$2:$E$201), "", INDEX(Floors!$K$2:$K$201, IFERROR(MATCH(ROW()-1-0.0001, Floors!$L$2:$L$201, 1), 0)+1))</f>
        <v/>
      </c>
    </row>
    <row r="166">
      <c r="A166" s="6">
        <f>IF(J166="","",IF(J166=J165,"",J166))</f>
        <v/>
      </c>
      <c r="B166" s="6">
        <f>IF(K166="","",IF(K166=K165,"",K166))</f>
        <v/>
      </c>
      <c r="C166" s="5">
        <f>IF(L166="","",IF(L166=L165,"",L166))</f>
        <v/>
      </c>
      <c r="D166" s="6">
        <f>IF(L166="","", SUBSTITUTE(M166," Floor","") &amp; " " &amp; CHOOSE(MIN((ROW()-1)-IFERROR(INDEX(Floors!$L$2:$L$201, MATCH(ROW()-1-0.0001, Floors!$L$2:$L$201, 1)), 0), 4), "North", "South", "East", "West"))</f>
        <v/>
      </c>
      <c r="E166" s="12" t="n"/>
      <c r="F166" s="12" t="n"/>
      <c r="G166" s="12" t="n"/>
      <c r="H166" s="16" t="n"/>
      <c r="I166" s="16" t="n"/>
      <c r="J166" s="15">
        <f>IF(ROW()-1&gt;SUM(Floors!$E$2:$E$201), "", INDEX(Floors!$F$2:$F$201, IFERROR(MATCH(ROW()-1-0.0001, Floors!$L$2:$L$201, 1), 0)+1))</f>
        <v/>
      </c>
      <c r="K166" s="15">
        <f>IF(ROW()-1&gt;SUM(Floors!$E$2:$E$201), "", INDEX(Floors!$H$2:$H$201, IFERROR(MATCH(ROW()-1-0.0001, Floors!$L$2:$L$201, 1), 0)+1))</f>
        <v/>
      </c>
      <c r="L166" s="14">
        <f>IF(ROW()-1&gt;SUM(Floors!$E$2:$E$201), "", INDEX(Floors!$D$2:$D$201, IFERROR(MATCH(ROW()-1-0.0001, Floors!$L$2:$L$201, 1), 0)+1))</f>
        <v/>
      </c>
      <c r="M166" s="15">
        <f>IF(ROW()-1&gt;SUM(Floors!$E$2:$E$201), "", INDEX(Floors!$K$2:$K$201, IFERROR(MATCH(ROW()-1-0.0001, Floors!$L$2:$L$201, 1), 0)+1))</f>
        <v/>
      </c>
    </row>
    <row r="167">
      <c r="A167" s="6">
        <f>IF(J167="","",IF(J167=J166,"",J167))</f>
        <v/>
      </c>
      <c r="B167" s="6">
        <f>IF(K167="","",IF(K167=K166,"",K167))</f>
        <v/>
      </c>
      <c r="C167" s="5">
        <f>IF(L167="","",IF(L167=L166,"",L167))</f>
        <v/>
      </c>
      <c r="D167" s="6">
        <f>IF(L167="","", SUBSTITUTE(M167," Floor","") &amp; " " &amp; CHOOSE(MIN((ROW()-1)-IFERROR(INDEX(Floors!$L$2:$L$201, MATCH(ROW()-1-0.0001, Floors!$L$2:$L$201, 1)), 0), 4), "North", "South", "East", "West"))</f>
        <v/>
      </c>
      <c r="E167" s="12" t="n"/>
      <c r="F167" s="12" t="n"/>
      <c r="G167" s="12" t="n"/>
      <c r="H167" s="16" t="n"/>
      <c r="I167" s="16" t="n"/>
      <c r="J167" s="15">
        <f>IF(ROW()-1&gt;SUM(Floors!$E$2:$E$201), "", INDEX(Floors!$F$2:$F$201, IFERROR(MATCH(ROW()-1-0.0001, Floors!$L$2:$L$201, 1), 0)+1))</f>
        <v/>
      </c>
      <c r="K167" s="15">
        <f>IF(ROW()-1&gt;SUM(Floors!$E$2:$E$201), "", INDEX(Floors!$H$2:$H$201, IFERROR(MATCH(ROW()-1-0.0001, Floors!$L$2:$L$201, 1), 0)+1))</f>
        <v/>
      </c>
      <c r="L167" s="14">
        <f>IF(ROW()-1&gt;SUM(Floors!$E$2:$E$201), "", INDEX(Floors!$D$2:$D$201, IFERROR(MATCH(ROW()-1-0.0001, Floors!$L$2:$L$201, 1), 0)+1))</f>
        <v/>
      </c>
      <c r="M167" s="15">
        <f>IF(ROW()-1&gt;SUM(Floors!$E$2:$E$201), "", INDEX(Floors!$K$2:$K$201, IFERROR(MATCH(ROW()-1-0.0001, Floors!$L$2:$L$201, 1), 0)+1))</f>
        <v/>
      </c>
    </row>
    <row r="168">
      <c r="A168" s="6">
        <f>IF(J168="","",IF(J168=J167,"",J168))</f>
        <v/>
      </c>
      <c r="B168" s="6">
        <f>IF(K168="","",IF(K168=K167,"",K168))</f>
        <v/>
      </c>
      <c r="C168" s="5">
        <f>IF(L168="","",IF(L168=L167,"",L168))</f>
        <v/>
      </c>
      <c r="D168" s="6">
        <f>IF(L168="","", SUBSTITUTE(M168," Floor","") &amp; " " &amp; CHOOSE(MIN((ROW()-1)-IFERROR(INDEX(Floors!$L$2:$L$201, MATCH(ROW()-1-0.0001, Floors!$L$2:$L$201, 1)), 0), 4), "North", "South", "East", "West"))</f>
        <v/>
      </c>
      <c r="E168" s="12" t="n"/>
      <c r="F168" s="12" t="n"/>
      <c r="G168" s="12" t="n"/>
      <c r="H168" s="16" t="n"/>
      <c r="I168" s="16" t="n"/>
      <c r="J168" s="15">
        <f>IF(ROW()-1&gt;SUM(Floors!$E$2:$E$201), "", INDEX(Floors!$F$2:$F$201, IFERROR(MATCH(ROW()-1-0.0001, Floors!$L$2:$L$201, 1), 0)+1))</f>
        <v/>
      </c>
      <c r="K168" s="15">
        <f>IF(ROW()-1&gt;SUM(Floors!$E$2:$E$201), "", INDEX(Floors!$H$2:$H$201, IFERROR(MATCH(ROW()-1-0.0001, Floors!$L$2:$L$201, 1), 0)+1))</f>
        <v/>
      </c>
      <c r="L168" s="14">
        <f>IF(ROW()-1&gt;SUM(Floors!$E$2:$E$201), "", INDEX(Floors!$D$2:$D$201, IFERROR(MATCH(ROW()-1-0.0001, Floors!$L$2:$L$201, 1), 0)+1))</f>
        <v/>
      </c>
      <c r="M168" s="15">
        <f>IF(ROW()-1&gt;SUM(Floors!$E$2:$E$201), "", INDEX(Floors!$K$2:$K$201, IFERROR(MATCH(ROW()-1-0.0001, Floors!$L$2:$L$201, 1), 0)+1))</f>
        <v/>
      </c>
    </row>
    <row r="169">
      <c r="A169" s="6">
        <f>IF(J169="","",IF(J169=J168,"",J169))</f>
        <v/>
      </c>
      <c r="B169" s="6">
        <f>IF(K169="","",IF(K169=K168,"",K169))</f>
        <v/>
      </c>
      <c r="C169" s="5">
        <f>IF(L169="","",IF(L169=L168,"",L169))</f>
        <v/>
      </c>
      <c r="D169" s="6">
        <f>IF(L169="","", SUBSTITUTE(M169," Floor","") &amp; " " &amp; CHOOSE(MIN((ROW()-1)-IFERROR(INDEX(Floors!$L$2:$L$201, MATCH(ROW()-1-0.0001, Floors!$L$2:$L$201, 1)), 0), 4), "North", "South", "East", "West"))</f>
        <v/>
      </c>
      <c r="E169" s="12" t="n"/>
      <c r="F169" s="12" t="n"/>
      <c r="G169" s="12" t="n"/>
      <c r="H169" s="16" t="n"/>
      <c r="I169" s="16" t="n"/>
      <c r="J169" s="15">
        <f>IF(ROW()-1&gt;SUM(Floors!$E$2:$E$201), "", INDEX(Floors!$F$2:$F$201, IFERROR(MATCH(ROW()-1-0.0001, Floors!$L$2:$L$201, 1), 0)+1))</f>
        <v/>
      </c>
      <c r="K169" s="15">
        <f>IF(ROW()-1&gt;SUM(Floors!$E$2:$E$201), "", INDEX(Floors!$H$2:$H$201, IFERROR(MATCH(ROW()-1-0.0001, Floors!$L$2:$L$201, 1), 0)+1))</f>
        <v/>
      </c>
      <c r="L169" s="14">
        <f>IF(ROW()-1&gt;SUM(Floors!$E$2:$E$201), "", INDEX(Floors!$D$2:$D$201, IFERROR(MATCH(ROW()-1-0.0001, Floors!$L$2:$L$201, 1), 0)+1))</f>
        <v/>
      </c>
      <c r="M169" s="15">
        <f>IF(ROW()-1&gt;SUM(Floors!$E$2:$E$201), "", INDEX(Floors!$K$2:$K$201, IFERROR(MATCH(ROW()-1-0.0001, Floors!$L$2:$L$201, 1), 0)+1))</f>
        <v/>
      </c>
    </row>
    <row r="170">
      <c r="A170" s="6">
        <f>IF(J170="","",IF(J170=J169,"",J170))</f>
        <v/>
      </c>
      <c r="B170" s="6">
        <f>IF(K170="","",IF(K170=K169,"",K170))</f>
        <v/>
      </c>
      <c r="C170" s="5">
        <f>IF(L170="","",IF(L170=L169,"",L170))</f>
        <v/>
      </c>
      <c r="D170" s="6">
        <f>IF(L170="","", SUBSTITUTE(M170," Floor","") &amp; " " &amp; CHOOSE(MIN((ROW()-1)-IFERROR(INDEX(Floors!$L$2:$L$201, MATCH(ROW()-1-0.0001, Floors!$L$2:$L$201, 1)), 0), 4), "North", "South", "East", "West"))</f>
        <v/>
      </c>
      <c r="E170" s="12" t="n"/>
      <c r="F170" s="12" t="n"/>
      <c r="G170" s="12" t="n"/>
      <c r="H170" s="16" t="n"/>
      <c r="I170" s="16" t="n"/>
      <c r="J170" s="15">
        <f>IF(ROW()-1&gt;SUM(Floors!$E$2:$E$201), "", INDEX(Floors!$F$2:$F$201, IFERROR(MATCH(ROW()-1-0.0001, Floors!$L$2:$L$201, 1), 0)+1))</f>
        <v/>
      </c>
      <c r="K170" s="15">
        <f>IF(ROW()-1&gt;SUM(Floors!$E$2:$E$201), "", INDEX(Floors!$H$2:$H$201, IFERROR(MATCH(ROW()-1-0.0001, Floors!$L$2:$L$201, 1), 0)+1))</f>
        <v/>
      </c>
      <c r="L170" s="14">
        <f>IF(ROW()-1&gt;SUM(Floors!$E$2:$E$201), "", INDEX(Floors!$D$2:$D$201, IFERROR(MATCH(ROW()-1-0.0001, Floors!$L$2:$L$201, 1), 0)+1))</f>
        <v/>
      </c>
      <c r="M170" s="15">
        <f>IF(ROW()-1&gt;SUM(Floors!$E$2:$E$201), "", INDEX(Floors!$K$2:$K$201, IFERROR(MATCH(ROW()-1-0.0001, Floors!$L$2:$L$201, 1), 0)+1))</f>
        <v/>
      </c>
    </row>
    <row r="171">
      <c r="A171" s="6">
        <f>IF(J171="","",IF(J171=J170,"",J171))</f>
        <v/>
      </c>
      <c r="B171" s="6">
        <f>IF(K171="","",IF(K171=K170,"",K171))</f>
        <v/>
      </c>
      <c r="C171" s="5">
        <f>IF(L171="","",IF(L171=L170,"",L171))</f>
        <v/>
      </c>
      <c r="D171" s="6">
        <f>IF(L171="","", SUBSTITUTE(M171," Floor","") &amp; " " &amp; CHOOSE(MIN((ROW()-1)-IFERROR(INDEX(Floors!$L$2:$L$201, MATCH(ROW()-1-0.0001, Floors!$L$2:$L$201, 1)), 0), 4), "North", "South", "East", "West"))</f>
        <v/>
      </c>
      <c r="E171" s="12" t="n"/>
      <c r="F171" s="12" t="n"/>
      <c r="G171" s="12" t="n"/>
      <c r="H171" s="16" t="n"/>
      <c r="I171" s="16" t="n"/>
      <c r="J171" s="15">
        <f>IF(ROW()-1&gt;SUM(Floors!$E$2:$E$201), "", INDEX(Floors!$F$2:$F$201, IFERROR(MATCH(ROW()-1-0.0001, Floors!$L$2:$L$201, 1), 0)+1))</f>
        <v/>
      </c>
      <c r="K171" s="15">
        <f>IF(ROW()-1&gt;SUM(Floors!$E$2:$E$201), "", INDEX(Floors!$H$2:$H$201, IFERROR(MATCH(ROW()-1-0.0001, Floors!$L$2:$L$201, 1), 0)+1))</f>
        <v/>
      </c>
      <c r="L171" s="14">
        <f>IF(ROW()-1&gt;SUM(Floors!$E$2:$E$201), "", INDEX(Floors!$D$2:$D$201, IFERROR(MATCH(ROW()-1-0.0001, Floors!$L$2:$L$201, 1), 0)+1))</f>
        <v/>
      </c>
      <c r="M171" s="15">
        <f>IF(ROW()-1&gt;SUM(Floors!$E$2:$E$201), "", INDEX(Floors!$K$2:$K$201, IFERROR(MATCH(ROW()-1-0.0001, Floors!$L$2:$L$201, 1), 0)+1))</f>
        <v/>
      </c>
    </row>
    <row r="172">
      <c r="A172" s="6">
        <f>IF(J172="","",IF(J172=J171,"",J172))</f>
        <v/>
      </c>
      <c r="B172" s="6">
        <f>IF(K172="","",IF(K172=K171,"",K172))</f>
        <v/>
      </c>
      <c r="C172" s="5">
        <f>IF(L172="","",IF(L172=L171,"",L172))</f>
        <v/>
      </c>
      <c r="D172" s="6">
        <f>IF(L172="","", SUBSTITUTE(M172," Floor","") &amp; " " &amp; CHOOSE(MIN((ROW()-1)-IFERROR(INDEX(Floors!$L$2:$L$201, MATCH(ROW()-1-0.0001, Floors!$L$2:$L$201, 1)), 0), 4), "North", "South", "East", "West"))</f>
        <v/>
      </c>
      <c r="E172" s="12" t="n"/>
      <c r="F172" s="12" t="n"/>
      <c r="G172" s="12" t="n"/>
      <c r="H172" s="16" t="n"/>
      <c r="I172" s="16" t="n"/>
      <c r="J172" s="15">
        <f>IF(ROW()-1&gt;SUM(Floors!$E$2:$E$201), "", INDEX(Floors!$F$2:$F$201, IFERROR(MATCH(ROW()-1-0.0001, Floors!$L$2:$L$201, 1), 0)+1))</f>
        <v/>
      </c>
      <c r="K172" s="15">
        <f>IF(ROW()-1&gt;SUM(Floors!$E$2:$E$201), "", INDEX(Floors!$H$2:$H$201, IFERROR(MATCH(ROW()-1-0.0001, Floors!$L$2:$L$201, 1), 0)+1))</f>
        <v/>
      </c>
      <c r="L172" s="14">
        <f>IF(ROW()-1&gt;SUM(Floors!$E$2:$E$201), "", INDEX(Floors!$D$2:$D$201, IFERROR(MATCH(ROW()-1-0.0001, Floors!$L$2:$L$201, 1), 0)+1))</f>
        <v/>
      </c>
      <c r="M172" s="15">
        <f>IF(ROW()-1&gt;SUM(Floors!$E$2:$E$201), "", INDEX(Floors!$K$2:$K$201, IFERROR(MATCH(ROW()-1-0.0001, Floors!$L$2:$L$201, 1), 0)+1))</f>
        <v/>
      </c>
    </row>
    <row r="173">
      <c r="A173" s="6">
        <f>IF(J173="","",IF(J173=J172,"",J173))</f>
        <v/>
      </c>
      <c r="B173" s="6">
        <f>IF(K173="","",IF(K173=K172,"",K173))</f>
        <v/>
      </c>
      <c r="C173" s="5">
        <f>IF(L173="","",IF(L173=L172,"",L173))</f>
        <v/>
      </c>
      <c r="D173" s="6">
        <f>IF(L173="","", SUBSTITUTE(M173," Floor","") &amp; " " &amp; CHOOSE(MIN((ROW()-1)-IFERROR(INDEX(Floors!$L$2:$L$201, MATCH(ROW()-1-0.0001, Floors!$L$2:$L$201, 1)), 0), 4), "North", "South", "East", "West"))</f>
        <v/>
      </c>
      <c r="E173" s="12" t="n"/>
      <c r="F173" s="12" t="n"/>
      <c r="G173" s="12" t="n"/>
      <c r="H173" s="16" t="n"/>
      <c r="I173" s="16" t="n"/>
      <c r="J173" s="15">
        <f>IF(ROW()-1&gt;SUM(Floors!$E$2:$E$201), "", INDEX(Floors!$F$2:$F$201, IFERROR(MATCH(ROW()-1-0.0001, Floors!$L$2:$L$201, 1), 0)+1))</f>
        <v/>
      </c>
      <c r="K173" s="15">
        <f>IF(ROW()-1&gt;SUM(Floors!$E$2:$E$201), "", INDEX(Floors!$H$2:$H$201, IFERROR(MATCH(ROW()-1-0.0001, Floors!$L$2:$L$201, 1), 0)+1))</f>
        <v/>
      </c>
      <c r="L173" s="14">
        <f>IF(ROW()-1&gt;SUM(Floors!$E$2:$E$201), "", INDEX(Floors!$D$2:$D$201, IFERROR(MATCH(ROW()-1-0.0001, Floors!$L$2:$L$201, 1), 0)+1))</f>
        <v/>
      </c>
      <c r="M173" s="15">
        <f>IF(ROW()-1&gt;SUM(Floors!$E$2:$E$201), "", INDEX(Floors!$K$2:$K$201, IFERROR(MATCH(ROW()-1-0.0001, Floors!$L$2:$L$201, 1), 0)+1))</f>
        <v/>
      </c>
    </row>
    <row r="174">
      <c r="A174" s="6">
        <f>IF(J174="","",IF(J174=J173,"",J174))</f>
        <v/>
      </c>
      <c r="B174" s="6">
        <f>IF(K174="","",IF(K174=K173,"",K174))</f>
        <v/>
      </c>
      <c r="C174" s="5">
        <f>IF(L174="","",IF(L174=L173,"",L174))</f>
        <v/>
      </c>
      <c r="D174" s="6">
        <f>IF(L174="","", SUBSTITUTE(M174," Floor","") &amp; " " &amp; CHOOSE(MIN((ROW()-1)-IFERROR(INDEX(Floors!$L$2:$L$201, MATCH(ROW()-1-0.0001, Floors!$L$2:$L$201, 1)), 0), 4), "North", "South", "East", "West"))</f>
        <v/>
      </c>
      <c r="E174" s="12" t="n"/>
      <c r="F174" s="12" t="n"/>
      <c r="G174" s="12" t="n"/>
      <c r="H174" s="16" t="n"/>
      <c r="I174" s="16" t="n"/>
      <c r="J174" s="15">
        <f>IF(ROW()-1&gt;SUM(Floors!$E$2:$E$201), "", INDEX(Floors!$F$2:$F$201, IFERROR(MATCH(ROW()-1-0.0001, Floors!$L$2:$L$201, 1), 0)+1))</f>
        <v/>
      </c>
      <c r="K174" s="15">
        <f>IF(ROW()-1&gt;SUM(Floors!$E$2:$E$201), "", INDEX(Floors!$H$2:$H$201, IFERROR(MATCH(ROW()-1-0.0001, Floors!$L$2:$L$201, 1), 0)+1))</f>
        <v/>
      </c>
      <c r="L174" s="14">
        <f>IF(ROW()-1&gt;SUM(Floors!$E$2:$E$201), "", INDEX(Floors!$D$2:$D$201, IFERROR(MATCH(ROW()-1-0.0001, Floors!$L$2:$L$201, 1), 0)+1))</f>
        <v/>
      </c>
      <c r="M174" s="15">
        <f>IF(ROW()-1&gt;SUM(Floors!$E$2:$E$201), "", INDEX(Floors!$K$2:$K$201, IFERROR(MATCH(ROW()-1-0.0001, Floors!$L$2:$L$201, 1), 0)+1))</f>
        <v/>
      </c>
    </row>
    <row r="175">
      <c r="A175" s="6">
        <f>IF(J175="","",IF(J175=J174,"",J175))</f>
        <v/>
      </c>
      <c r="B175" s="6">
        <f>IF(K175="","",IF(K175=K174,"",K175))</f>
        <v/>
      </c>
      <c r="C175" s="5">
        <f>IF(L175="","",IF(L175=L174,"",L175))</f>
        <v/>
      </c>
      <c r="D175" s="6">
        <f>IF(L175="","", SUBSTITUTE(M175," Floor","") &amp; " " &amp; CHOOSE(MIN((ROW()-1)-IFERROR(INDEX(Floors!$L$2:$L$201, MATCH(ROW()-1-0.0001, Floors!$L$2:$L$201, 1)), 0), 4), "North", "South", "East", "West"))</f>
        <v/>
      </c>
      <c r="E175" s="12" t="n"/>
      <c r="F175" s="12" t="n"/>
      <c r="G175" s="12" t="n"/>
      <c r="H175" s="16" t="n"/>
      <c r="I175" s="16" t="n"/>
      <c r="J175" s="15">
        <f>IF(ROW()-1&gt;SUM(Floors!$E$2:$E$201), "", INDEX(Floors!$F$2:$F$201, IFERROR(MATCH(ROW()-1-0.0001, Floors!$L$2:$L$201, 1), 0)+1))</f>
        <v/>
      </c>
      <c r="K175" s="15">
        <f>IF(ROW()-1&gt;SUM(Floors!$E$2:$E$201), "", INDEX(Floors!$H$2:$H$201, IFERROR(MATCH(ROW()-1-0.0001, Floors!$L$2:$L$201, 1), 0)+1))</f>
        <v/>
      </c>
      <c r="L175" s="14">
        <f>IF(ROW()-1&gt;SUM(Floors!$E$2:$E$201), "", INDEX(Floors!$D$2:$D$201, IFERROR(MATCH(ROW()-1-0.0001, Floors!$L$2:$L$201, 1), 0)+1))</f>
        <v/>
      </c>
      <c r="M175" s="15">
        <f>IF(ROW()-1&gt;SUM(Floors!$E$2:$E$201), "", INDEX(Floors!$K$2:$K$201, IFERROR(MATCH(ROW()-1-0.0001, Floors!$L$2:$L$201, 1), 0)+1))</f>
        <v/>
      </c>
    </row>
    <row r="176">
      <c r="A176" s="6">
        <f>IF(J176="","",IF(J176=J175,"",J176))</f>
        <v/>
      </c>
      <c r="B176" s="6">
        <f>IF(K176="","",IF(K176=K175,"",K176))</f>
        <v/>
      </c>
      <c r="C176" s="5">
        <f>IF(L176="","",IF(L176=L175,"",L176))</f>
        <v/>
      </c>
      <c r="D176" s="6">
        <f>IF(L176="","", SUBSTITUTE(M176," Floor","") &amp; " " &amp; CHOOSE(MIN((ROW()-1)-IFERROR(INDEX(Floors!$L$2:$L$201, MATCH(ROW()-1-0.0001, Floors!$L$2:$L$201, 1)), 0), 4), "North", "South", "East", "West"))</f>
        <v/>
      </c>
      <c r="E176" s="12" t="n"/>
      <c r="F176" s="12" t="n"/>
      <c r="G176" s="12" t="n"/>
      <c r="H176" s="16" t="n"/>
      <c r="I176" s="16" t="n"/>
      <c r="J176" s="15">
        <f>IF(ROW()-1&gt;SUM(Floors!$E$2:$E$201), "", INDEX(Floors!$F$2:$F$201, IFERROR(MATCH(ROW()-1-0.0001, Floors!$L$2:$L$201, 1), 0)+1))</f>
        <v/>
      </c>
      <c r="K176" s="15">
        <f>IF(ROW()-1&gt;SUM(Floors!$E$2:$E$201), "", INDEX(Floors!$H$2:$H$201, IFERROR(MATCH(ROW()-1-0.0001, Floors!$L$2:$L$201, 1), 0)+1))</f>
        <v/>
      </c>
      <c r="L176" s="14">
        <f>IF(ROW()-1&gt;SUM(Floors!$E$2:$E$201), "", INDEX(Floors!$D$2:$D$201, IFERROR(MATCH(ROW()-1-0.0001, Floors!$L$2:$L$201, 1), 0)+1))</f>
        <v/>
      </c>
      <c r="M176" s="15">
        <f>IF(ROW()-1&gt;SUM(Floors!$E$2:$E$201), "", INDEX(Floors!$K$2:$K$201, IFERROR(MATCH(ROW()-1-0.0001, Floors!$L$2:$L$201, 1), 0)+1))</f>
        <v/>
      </c>
    </row>
    <row r="177">
      <c r="A177" s="6">
        <f>IF(J177="","",IF(J177=J176,"",J177))</f>
        <v/>
      </c>
      <c r="B177" s="6">
        <f>IF(K177="","",IF(K177=K176,"",K177))</f>
        <v/>
      </c>
      <c r="C177" s="5">
        <f>IF(L177="","",IF(L177=L176,"",L177))</f>
        <v/>
      </c>
      <c r="D177" s="6">
        <f>IF(L177="","", SUBSTITUTE(M177," Floor","") &amp; " " &amp; CHOOSE(MIN((ROW()-1)-IFERROR(INDEX(Floors!$L$2:$L$201, MATCH(ROW()-1-0.0001, Floors!$L$2:$L$201, 1)), 0), 4), "North", "South", "East", "West"))</f>
        <v/>
      </c>
      <c r="E177" s="12" t="n"/>
      <c r="F177" s="12" t="n"/>
      <c r="G177" s="12" t="n"/>
      <c r="H177" s="16" t="n"/>
      <c r="I177" s="16" t="n"/>
      <c r="J177" s="15">
        <f>IF(ROW()-1&gt;SUM(Floors!$E$2:$E$201), "", INDEX(Floors!$F$2:$F$201, IFERROR(MATCH(ROW()-1-0.0001, Floors!$L$2:$L$201, 1), 0)+1))</f>
        <v/>
      </c>
      <c r="K177" s="15">
        <f>IF(ROW()-1&gt;SUM(Floors!$E$2:$E$201), "", INDEX(Floors!$H$2:$H$201, IFERROR(MATCH(ROW()-1-0.0001, Floors!$L$2:$L$201, 1), 0)+1))</f>
        <v/>
      </c>
      <c r="L177" s="14">
        <f>IF(ROW()-1&gt;SUM(Floors!$E$2:$E$201), "", INDEX(Floors!$D$2:$D$201, IFERROR(MATCH(ROW()-1-0.0001, Floors!$L$2:$L$201, 1), 0)+1))</f>
        <v/>
      </c>
      <c r="M177" s="15">
        <f>IF(ROW()-1&gt;SUM(Floors!$E$2:$E$201), "", INDEX(Floors!$K$2:$K$201, IFERROR(MATCH(ROW()-1-0.0001, Floors!$L$2:$L$201, 1), 0)+1))</f>
        <v/>
      </c>
    </row>
    <row r="178">
      <c r="A178" s="6">
        <f>IF(J178="","",IF(J178=J177,"",J178))</f>
        <v/>
      </c>
      <c r="B178" s="6">
        <f>IF(K178="","",IF(K178=K177,"",K178))</f>
        <v/>
      </c>
      <c r="C178" s="5">
        <f>IF(L178="","",IF(L178=L177,"",L178))</f>
        <v/>
      </c>
      <c r="D178" s="6">
        <f>IF(L178="","", SUBSTITUTE(M178," Floor","") &amp; " " &amp; CHOOSE(MIN((ROW()-1)-IFERROR(INDEX(Floors!$L$2:$L$201, MATCH(ROW()-1-0.0001, Floors!$L$2:$L$201, 1)), 0), 4), "North", "South", "East", "West"))</f>
        <v/>
      </c>
      <c r="E178" s="12" t="n"/>
      <c r="F178" s="12" t="n"/>
      <c r="G178" s="12" t="n"/>
      <c r="H178" s="16" t="n"/>
      <c r="I178" s="16" t="n"/>
      <c r="J178" s="15">
        <f>IF(ROW()-1&gt;SUM(Floors!$E$2:$E$201), "", INDEX(Floors!$F$2:$F$201, IFERROR(MATCH(ROW()-1-0.0001, Floors!$L$2:$L$201, 1), 0)+1))</f>
        <v/>
      </c>
      <c r="K178" s="15">
        <f>IF(ROW()-1&gt;SUM(Floors!$E$2:$E$201), "", INDEX(Floors!$H$2:$H$201, IFERROR(MATCH(ROW()-1-0.0001, Floors!$L$2:$L$201, 1), 0)+1))</f>
        <v/>
      </c>
      <c r="L178" s="14">
        <f>IF(ROW()-1&gt;SUM(Floors!$E$2:$E$201), "", INDEX(Floors!$D$2:$D$201, IFERROR(MATCH(ROW()-1-0.0001, Floors!$L$2:$L$201, 1), 0)+1))</f>
        <v/>
      </c>
      <c r="M178" s="15">
        <f>IF(ROW()-1&gt;SUM(Floors!$E$2:$E$201), "", INDEX(Floors!$K$2:$K$201, IFERROR(MATCH(ROW()-1-0.0001, Floors!$L$2:$L$201, 1), 0)+1))</f>
        <v/>
      </c>
    </row>
    <row r="179">
      <c r="A179" s="6">
        <f>IF(J179="","",IF(J179=J178,"",J179))</f>
        <v/>
      </c>
      <c r="B179" s="6">
        <f>IF(K179="","",IF(K179=K178,"",K179))</f>
        <v/>
      </c>
      <c r="C179" s="5">
        <f>IF(L179="","",IF(L179=L178,"",L179))</f>
        <v/>
      </c>
      <c r="D179" s="6">
        <f>IF(L179="","", SUBSTITUTE(M179," Floor","") &amp; " " &amp; CHOOSE(MIN((ROW()-1)-IFERROR(INDEX(Floors!$L$2:$L$201, MATCH(ROW()-1-0.0001, Floors!$L$2:$L$201, 1)), 0), 4), "North", "South", "East", "West"))</f>
        <v/>
      </c>
      <c r="E179" s="12" t="n"/>
      <c r="F179" s="12" t="n"/>
      <c r="G179" s="12" t="n"/>
      <c r="H179" s="16" t="n"/>
      <c r="I179" s="16" t="n"/>
      <c r="J179" s="15">
        <f>IF(ROW()-1&gt;SUM(Floors!$E$2:$E$201), "", INDEX(Floors!$F$2:$F$201, IFERROR(MATCH(ROW()-1-0.0001, Floors!$L$2:$L$201, 1), 0)+1))</f>
        <v/>
      </c>
      <c r="K179" s="15">
        <f>IF(ROW()-1&gt;SUM(Floors!$E$2:$E$201), "", INDEX(Floors!$H$2:$H$201, IFERROR(MATCH(ROW()-1-0.0001, Floors!$L$2:$L$201, 1), 0)+1))</f>
        <v/>
      </c>
      <c r="L179" s="14">
        <f>IF(ROW()-1&gt;SUM(Floors!$E$2:$E$201), "", INDEX(Floors!$D$2:$D$201, IFERROR(MATCH(ROW()-1-0.0001, Floors!$L$2:$L$201, 1), 0)+1))</f>
        <v/>
      </c>
      <c r="M179" s="15">
        <f>IF(ROW()-1&gt;SUM(Floors!$E$2:$E$201), "", INDEX(Floors!$K$2:$K$201, IFERROR(MATCH(ROW()-1-0.0001, Floors!$L$2:$L$201, 1), 0)+1))</f>
        <v/>
      </c>
    </row>
    <row r="180">
      <c r="A180" s="6">
        <f>IF(J180="","",IF(J180=J179,"",J180))</f>
        <v/>
      </c>
      <c r="B180" s="6">
        <f>IF(K180="","",IF(K180=K179,"",K180))</f>
        <v/>
      </c>
      <c r="C180" s="5">
        <f>IF(L180="","",IF(L180=L179,"",L180))</f>
        <v/>
      </c>
      <c r="D180" s="6">
        <f>IF(L180="","", SUBSTITUTE(M180," Floor","") &amp; " " &amp; CHOOSE(MIN((ROW()-1)-IFERROR(INDEX(Floors!$L$2:$L$201, MATCH(ROW()-1-0.0001, Floors!$L$2:$L$201, 1)), 0), 4), "North", "South", "East", "West"))</f>
        <v/>
      </c>
      <c r="E180" s="12" t="n"/>
      <c r="F180" s="12" t="n"/>
      <c r="G180" s="12" t="n"/>
      <c r="H180" s="16" t="n"/>
      <c r="I180" s="16" t="n"/>
      <c r="J180" s="15">
        <f>IF(ROW()-1&gt;SUM(Floors!$E$2:$E$201), "", INDEX(Floors!$F$2:$F$201, IFERROR(MATCH(ROW()-1-0.0001, Floors!$L$2:$L$201, 1), 0)+1))</f>
        <v/>
      </c>
      <c r="K180" s="15">
        <f>IF(ROW()-1&gt;SUM(Floors!$E$2:$E$201), "", INDEX(Floors!$H$2:$H$201, IFERROR(MATCH(ROW()-1-0.0001, Floors!$L$2:$L$201, 1), 0)+1))</f>
        <v/>
      </c>
      <c r="L180" s="14">
        <f>IF(ROW()-1&gt;SUM(Floors!$E$2:$E$201), "", INDEX(Floors!$D$2:$D$201, IFERROR(MATCH(ROW()-1-0.0001, Floors!$L$2:$L$201, 1), 0)+1))</f>
        <v/>
      </c>
      <c r="M180" s="15">
        <f>IF(ROW()-1&gt;SUM(Floors!$E$2:$E$201), "", INDEX(Floors!$K$2:$K$201, IFERROR(MATCH(ROW()-1-0.0001, Floors!$L$2:$L$201, 1), 0)+1))</f>
        <v/>
      </c>
    </row>
    <row r="181">
      <c r="A181" s="6">
        <f>IF(J181="","",IF(J181=J180,"",J181))</f>
        <v/>
      </c>
      <c r="B181" s="6">
        <f>IF(K181="","",IF(K181=K180,"",K181))</f>
        <v/>
      </c>
      <c r="C181" s="5">
        <f>IF(L181="","",IF(L181=L180,"",L181))</f>
        <v/>
      </c>
      <c r="D181" s="6">
        <f>IF(L181="","", SUBSTITUTE(M181," Floor","") &amp; " " &amp; CHOOSE(MIN((ROW()-1)-IFERROR(INDEX(Floors!$L$2:$L$201, MATCH(ROW()-1-0.0001, Floors!$L$2:$L$201, 1)), 0), 4), "North", "South", "East", "West"))</f>
        <v/>
      </c>
      <c r="E181" s="12" t="n"/>
      <c r="F181" s="12" t="n"/>
      <c r="G181" s="12" t="n"/>
      <c r="H181" s="16" t="n"/>
      <c r="I181" s="16" t="n"/>
      <c r="J181" s="15">
        <f>IF(ROW()-1&gt;SUM(Floors!$E$2:$E$201), "", INDEX(Floors!$F$2:$F$201, IFERROR(MATCH(ROW()-1-0.0001, Floors!$L$2:$L$201, 1), 0)+1))</f>
        <v/>
      </c>
      <c r="K181" s="15">
        <f>IF(ROW()-1&gt;SUM(Floors!$E$2:$E$201), "", INDEX(Floors!$H$2:$H$201, IFERROR(MATCH(ROW()-1-0.0001, Floors!$L$2:$L$201, 1), 0)+1))</f>
        <v/>
      </c>
      <c r="L181" s="14">
        <f>IF(ROW()-1&gt;SUM(Floors!$E$2:$E$201), "", INDEX(Floors!$D$2:$D$201, IFERROR(MATCH(ROW()-1-0.0001, Floors!$L$2:$L$201, 1), 0)+1))</f>
        <v/>
      </c>
      <c r="M181" s="15">
        <f>IF(ROW()-1&gt;SUM(Floors!$E$2:$E$201), "", INDEX(Floors!$K$2:$K$201, IFERROR(MATCH(ROW()-1-0.0001, Floors!$L$2:$L$201, 1), 0)+1))</f>
        <v/>
      </c>
    </row>
    <row r="182">
      <c r="A182" s="6">
        <f>IF(J182="","",IF(J182=J181,"",J182))</f>
        <v/>
      </c>
      <c r="B182" s="6">
        <f>IF(K182="","",IF(K182=K181,"",K182))</f>
        <v/>
      </c>
      <c r="C182" s="5">
        <f>IF(L182="","",IF(L182=L181,"",L182))</f>
        <v/>
      </c>
      <c r="D182" s="6">
        <f>IF(L182="","", SUBSTITUTE(M182," Floor","") &amp; " " &amp; CHOOSE(MIN((ROW()-1)-IFERROR(INDEX(Floors!$L$2:$L$201, MATCH(ROW()-1-0.0001, Floors!$L$2:$L$201, 1)), 0), 4), "North", "South", "East", "West"))</f>
        <v/>
      </c>
      <c r="E182" s="12" t="n"/>
      <c r="F182" s="12" t="n"/>
      <c r="G182" s="12" t="n"/>
      <c r="H182" s="16" t="n"/>
      <c r="I182" s="16" t="n"/>
      <c r="J182" s="15">
        <f>IF(ROW()-1&gt;SUM(Floors!$E$2:$E$201), "", INDEX(Floors!$F$2:$F$201, IFERROR(MATCH(ROW()-1-0.0001, Floors!$L$2:$L$201, 1), 0)+1))</f>
        <v/>
      </c>
      <c r="K182" s="15">
        <f>IF(ROW()-1&gt;SUM(Floors!$E$2:$E$201), "", INDEX(Floors!$H$2:$H$201, IFERROR(MATCH(ROW()-1-0.0001, Floors!$L$2:$L$201, 1), 0)+1))</f>
        <v/>
      </c>
      <c r="L182" s="14">
        <f>IF(ROW()-1&gt;SUM(Floors!$E$2:$E$201), "", INDEX(Floors!$D$2:$D$201, IFERROR(MATCH(ROW()-1-0.0001, Floors!$L$2:$L$201, 1), 0)+1))</f>
        <v/>
      </c>
      <c r="M182" s="15">
        <f>IF(ROW()-1&gt;SUM(Floors!$E$2:$E$201), "", INDEX(Floors!$K$2:$K$201, IFERROR(MATCH(ROW()-1-0.0001, Floors!$L$2:$L$201, 1), 0)+1))</f>
        <v/>
      </c>
    </row>
    <row r="183">
      <c r="A183" s="6">
        <f>IF(J183="","",IF(J183=J182,"",J183))</f>
        <v/>
      </c>
      <c r="B183" s="6">
        <f>IF(K183="","",IF(K183=K182,"",K183))</f>
        <v/>
      </c>
      <c r="C183" s="5">
        <f>IF(L183="","",IF(L183=L182,"",L183))</f>
        <v/>
      </c>
      <c r="D183" s="6">
        <f>IF(L183="","", SUBSTITUTE(M183," Floor","") &amp; " " &amp; CHOOSE(MIN((ROW()-1)-IFERROR(INDEX(Floors!$L$2:$L$201, MATCH(ROW()-1-0.0001, Floors!$L$2:$L$201, 1)), 0), 4), "North", "South", "East", "West"))</f>
        <v/>
      </c>
      <c r="E183" s="12" t="n"/>
      <c r="F183" s="12" t="n"/>
      <c r="G183" s="12" t="n"/>
      <c r="H183" s="16" t="n"/>
      <c r="I183" s="16" t="n"/>
      <c r="J183" s="15">
        <f>IF(ROW()-1&gt;SUM(Floors!$E$2:$E$201), "", INDEX(Floors!$F$2:$F$201, IFERROR(MATCH(ROW()-1-0.0001, Floors!$L$2:$L$201, 1), 0)+1))</f>
        <v/>
      </c>
      <c r="K183" s="15">
        <f>IF(ROW()-1&gt;SUM(Floors!$E$2:$E$201), "", INDEX(Floors!$H$2:$H$201, IFERROR(MATCH(ROW()-1-0.0001, Floors!$L$2:$L$201, 1), 0)+1))</f>
        <v/>
      </c>
      <c r="L183" s="14">
        <f>IF(ROW()-1&gt;SUM(Floors!$E$2:$E$201), "", INDEX(Floors!$D$2:$D$201, IFERROR(MATCH(ROW()-1-0.0001, Floors!$L$2:$L$201, 1), 0)+1))</f>
        <v/>
      </c>
      <c r="M183" s="15">
        <f>IF(ROW()-1&gt;SUM(Floors!$E$2:$E$201), "", INDEX(Floors!$K$2:$K$201, IFERROR(MATCH(ROW()-1-0.0001, Floors!$L$2:$L$201, 1), 0)+1))</f>
        <v/>
      </c>
    </row>
    <row r="184">
      <c r="A184" s="6">
        <f>IF(J184="","",IF(J184=J183,"",J184))</f>
        <v/>
      </c>
      <c r="B184" s="6">
        <f>IF(K184="","",IF(K184=K183,"",K184))</f>
        <v/>
      </c>
      <c r="C184" s="5">
        <f>IF(L184="","",IF(L184=L183,"",L184))</f>
        <v/>
      </c>
      <c r="D184" s="6">
        <f>IF(L184="","", SUBSTITUTE(M184," Floor","") &amp; " " &amp; CHOOSE(MIN((ROW()-1)-IFERROR(INDEX(Floors!$L$2:$L$201, MATCH(ROW()-1-0.0001, Floors!$L$2:$L$201, 1)), 0), 4), "North", "South", "East", "West"))</f>
        <v/>
      </c>
      <c r="E184" s="12" t="n"/>
      <c r="F184" s="12" t="n"/>
      <c r="G184" s="12" t="n"/>
      <c r="H184" s="16" t="n"/>
      <c r="I184" s="16" t="n"/>
      <c r="J184" s="15">
        <f>IF(ROW()-1&gt;SUM(Floors!$E$2:$E$201), "", INDEX(Floors!$F$2:$F$201, IFERROR(MATCH(ROW()-1-0.0001, Floors!$L$2:$L$201, 1), 0)+1))</f>
        <v/>
      </c>
      <c r="K184" s="15">
        <f>IF(ROW()-1&gt;SUM(Floors!$E$2:$E$201), "", INDEX(Floors!$H$2:$H$201, IFERROR(MATCH(ROW()-1-0.0001, Floors!$L$2:$L$201, 1), 0)+1))</f>
        <v/>
      </c>
      <c r="L184" s="14">
        <f>IF(ROW()-1&gt;SUM(Floors!$E$2:$E$201), "", INDEX(Floors!$D$2:$D$201, IFERROR(MATCH(ROW()-1-0.0001, Floors!$L$2:$L$201, 1), 0)+1))</f>
        <v/>
      </c>
      <c r="M184" s="15">
        <f>IF(ROW()-1&gt;SUM(Floors!$E$2:$E$201), "", INDEX(Floors!$K$2:$K$201, IFERROR(MATCH(ROW()-1-0.0001, Floors!$L$2:$L$201, 1), 0)+1))</f>
        <v/>
      </c>
    </row>
    <row r="185">
      <c r="A185" s="6">
        <f>IF(J185="","",IF(J185=J184,"",J185))</f>
        <v/>
      </c>
      <c r="B185" s="6">
        <f>IF(K185="","",IF(K185=K184,"",K185))</f>
        <v/>
      </c>
      <c r="C185" s="5">
        <f>IF(L185="","",IF(L185=L184,"",L185))</f>
        <v/>
      </c>
      <c r="D185" s="6">
        <f>IF(L185="","", SUBSTITUTE(M185," Floor","") &amp; " " &amp; CHOOSE(MIN((ROW()-1)-IFERROR(INDEX(Floors!$L$2:$L$201, MATCH(ROW()-1-0.0001, Floors!$L$2:$L$201, 1)), 0), 4), "North", "South", "East", "West"))</f>
        <v/>
      </c>
      <c r="E185" s="12" t="n"/>
      <c r="F185" s="12" t="n"/>
      <c r="G185" s="12" t="n"/>
      <c r="H185" s="16" t="n"/>
      <c r="I185" s="16" t="n"/>
      <c r="J185" s="15">
        <f>IF(ROW()-1&gt;SUM(Floors!$E$2:$E$201), "", INDEX(Floors!$F$2:$F$201, IFERROR(MATCH(ROW()-1-0.0001, Floors!$L$2:$L$201, 1), 0)+1))</f>
        <v/>
      </c>
      <c r="K185" s="15">
        <f>IF(ROW()-1&gt;SUM(Floors!$E$2:$E$201), "", INDEX(Floors!$H$2:$H$201, IFERROR(MATCH(ROW()-1-0.0001, Floors!$L$2:$L$201, 1), 0)+1))</f>
        <v/>
      </c>
      <c r="L185" s="14">
        <f>IF(ROW()-1&gt;SUM(Floors!$E$2:$E$201), "", INDEX(Floors!$D$2:$D$201, IFERROR(MATCH(ROW()-1-0.0001, Floors!$L$2:$L$201, 1), 0)+1))</f>
        <v/>
      </c>
      <c r="M185" s="15">
        <f>IF(ROW()-1&gt;SUM(Floors!$E$2:$E$201), "", INDEX(Floors!$K$2:$K$201, IFERROR(MATCH(ROW()-1-0.0001, Floors!$L$2:$L$201, 1), 0)+1))</f>
        <v/>
      </c>
    </row>
    <row r="186">
      <c r="A186" s="6">
        <f>IF(J186="","",IF(J186=J185,"",J186))</f>
        <v/>
      </c>
      <c r="B186" s="6">
        <f>IF(K186="","",IF(K186=K185,"",K186))</f>
        <v/>
      </c>
      <c r="C186" s="5">
        <f>IF(L186="","",IF(L186=L185,"",L186))</f>
        <v/>
      </c>
      <c r="D186" s="6">
        <f>IF(L186="","", SUBSTITUTE(M186," Floor","") &amp; " " &amp; CHOOSE(MIN((ROW()-1)-IFERROR(INDEX(Floors!$L$2:$L$201, MATCH(ROW()-1-0.0001, Floors!$L$2:$L$201, 1)), 0), 4), "North", "South", "East", "West"))</f>
        <v/>
      </c>
      <c r="E186" s="12" t="n"/>
      <c r="F186" s="12" t="n"/>
      <c r="G186" s="12" t="n"/>
      <c r="H186" s="16" t="n"/>
      <c r="I186" s="16" t="n"/>
      <c r="J186" s="15">
        <f>IF(ROW()-1&gt;SUM(Floors!$E$2:$E$201), "", INDEX(Floors!$F$2:$F$201, IFERROR(MATCH(ROW()-1-0.0001, Floors!$L$2:$L$201, 1), 0)+1))</f>
        <v/>
      </c>
      <c r="K186" s="15">
        <f>IF(ROW()-1&gt;SUM(Floors!$E$2:$E$201), "", INDEX(Floors!$H$2:$H$201, IFERROR(MATCH(ROW()-1-0.0001, Floors!$L$2:$L$201, 1), 0)+1))</f>
        <v/>
      </c>
      <c r="L186" s="14">
        <f>IF(ROW()-1&gt;SUM(Floors!$E$2:$E$201), "", INDEX(Floors!$D$2:$D$201, IFERROR(MATCH(ROW()-1-0.0001, Floors!$L$2:$L$201, 1), 0)+1))</f>
        <v/>
      </c>
      <c r="M186" s="15">
        <f>IF(ROW()-1&gt;SUM(Floors!$E$2:$E$201), "", INDEX(Floors!$K$2:$K$201, IFERROR(MATCH(ROW()-1-0.0001, Floors!$L$2:$L$201, 1), 0)+1))</f>
        <v/>
      </c>
    </row>
    <row r="187">
      <c r="A187" s="6">
        <f>IF(J187="","",IF(J187=J186,"",J187))</f>
        <v/>
      </c>
      <c r="B187" s="6">
        <f>IF(K187="","",IF(K187=K186,"",K187))</f>
        <v/>
      </c>
      <c r="C187" s="5">
        <f>IF(L187="","",IF(L187=L186,"",L187))</f>
        <v/>
      </c>
      <c r="D187" s="6">
        <f>IF(L187="","", SUBSTITUTE(M187," Floor","") &amp; " " &amp; CHOOSE(MIN((ROW()-1)-IFERROR(INDEX(Floors!$L$2:$L$201, MATCH(ROW()-1-0.0001, Floors!$L$2:$L$201, 1)), 0), 4), "North", "South", "East", "West"))</f>
        <v/>
      </c>
      <c r="E187" s="12" t="n"/>
      <c r="F187" s="12" t="n"/>
      <c r="G187" s="12" t="n"/>
      <c r="H187" s="16" t="n"/>
      <c r="I187" s="16" t="n"/>
      <c r="J187" s="15">
        <f>IF(ROW()-1&gt;SUM(Floors!$E$2:$E$201), "", INDEX(Floors!$F$2:$F$201, IFERROR(MATCH(ROW()-1-0.0001, Floors!$L$2:$L$201, 1), 0)+1))</f>
        <v/>
      </c>
      <c r="K187" s="15">
        <f>IF(ROW()-1&gt;SUM(Floors!$E$2:$E$201), "", INDEX(Floors!$H$2:$H$201, IFERROR(MATCH(ROW()-1-0.0001, Floors!$L$2:$L$201, 1), 0)+1))</f>
        <v/>
      </c>
      <c r="L187" s="14">
        <f>IF(ROW()-1&gt;SUM(Floors!$E$2:$E$201), "", INDEX(Floors!$D$2:$D$201, IFERROR(MATCH(ROW()-1-0.0001, Floors!$L$2:$L$201, 1), 0)+1))</f>
        <v/>
      </c>
      <c r="M187" s="15">
        <f>IF(ROW()-1&gt;SUM(Floors!$E$2:$E$201), "", INDEX(Floors!$K$2:$K$201, IFERROR(MATCH(ROW()-1-0.0001, Floors!$L$2:$L$201, 1), 0)+1))</f>
        <v/>
      </c>
    </row>
    <row r="188">
      <c r="A188" s="6">
        <f>IF(J188="","",IF(J188=J187,"",J188))</f>
        <v/>
      </c>
      <c r="B188" s="6">
        <f>IF(K188="","",IF(K188=K187,"",K188))</f>
        <v/>
      </c>
      <c r="C188" s="5">
        <f>IF(L188="","",IF(L188=L187,"",L188))</f>
        <v/>
      </c>
      <c r="D188" s="6">
        <f>IF(L188="","", SUBSTITUTE(M188," Floor","") &amp; " " &amp; CHOOSE(MIN((ROW()-1)-IFERROR(INDEX(Floors!$L$2:$L$201, MATCH(ROW()-1-0.0001, Floors!$L$2:$L$201, 1)), 0), 4), "North", "South", "East", "West"))</f>
        <v/>
      </c>
      <c r="E188" s="12" t="n"/>
      <c r="F188" s="12" t="n"/>
      <c r="G188" s="12" t="n"/>
      <c r="H188" s="16" t="n"/>
      <c r="I188" s="16" t="n"/>
      <c r="J188" s="15">
        <f>IF(ROW()-1&gt;SUM(Floors!$E$2:$E$201), "", INDEX(Floors!$F$2:$F$201, IFERROR(MATCH(ROW()-1-0.0001, Floors!$L$2:$L$201, 1), 0)+1))</f>
        <v/>
      </c>
      <c r="K188" s="15">
        <f>IF(ROW()-1&gt;SUM(Floors!$E$2:$E$201), "", INDEX(Floors!$H$2:$H$201, IFERROR(MATCH(ROW()-1-0.0001, Floors!$L$2:$L$201, 1), 0)+1))</f>
        <v/>
      </c>
      <c r="L188" s="14">
        <f>IF(ROW()-1&gt;SUM(Floors!$E$2:$E$201), "", INDEX(Floors!$D$2:$D$201, IFERROR(MATCH(ROW()-1-0.0001, Floors!$L$2:$L$201, 1), 0)+1))</f>
        <v/>
      </c>
      <c r="M188" s="15">
        <f>IF(ROW()-1&gt;SUM(Floors!$E$2:$E$201), "", INDEX(Floors!$K$2:$K$201, IFERROR(MATCH(ROW()-1-0.0001, Floors!$L$2:$L$201, 1), 0)+1))</f>
        <v/>
      </c>
    </row>
    <row r="189">
      <c r="A189" s="6">
        <f>IF(J189="","",IF(J189=J188,"",J189))</f>
        <v/>
      </c>
      <c r="B189" s="6">
        <f>IF(K189="","",IF(K189=K188,"",K189))</f>
        <v/>
      </c>
      <c r="C189" s="5">
        <f>IF(L189="","",IF(L189=L188,"",L189))</f>
        <v/>
      </c>
      <c r="D189" s="6">
        <f>IF(L189="","", SUBSTITUTE(M189," Floor","") &amp; " " &amp; CHOOSE(MIN((ROW()-1)-IFERROR(INDEX(Floors!$L$2:$L$201, MATCH(ROW()-1-0.0001, Floors!$L$2:$L$201, 1)), 0), 4), "North", "South", "East", "West"))</f>
        <v/>
      </c>
      <c r="E189" s="12" t="n"/>
      <c r="F189" s="12" t="n"/>
      <c r="G189" s="12" t="n"/>
      <c r="H189" s="16" t="n"/>
      <c r="I189" s="16" t="n"/>
      <c r="J189" s="15">
        <f>IF(ROW()-1&gt;SUM(Floors!$E$2:$E$201), "", INDEX(Floors!$F$2:$F$201, IFERROR(MATCH(ROW()-1-0.0001, Floors!$L$2:$L$201, 1), 0)+1))</f>
        <v/>
      </c>
      <c r="K189" s="15">
        <f>IF(ROW()-1&gt;SUM(Floors!$E$2:$E$201), "", INDEX(Floors!$H$2:$H$201, IFERROR(MATCH(ROW()-1-0.0001, Floors!$L$2:$L$201, 1), 0)+1))</f>
        <v/>
      </c>
      <c r="L189" s="14">
        <f>IF(ROW()-1&gt;SUM(Floors!$E$2:$E$201), "", INDEX(Floors!$D$2:$D$201, IFERROR(MATCH(ROW()-1-0.0001, Floors!$L$2:$L$201, 1), 0)+1))</f>
        <v/>
      </c>
      <c r="M189" s="15">
        <f>IF(ROW()-1&gt;SUM(Floors!$E$2:$E$201), "", INDEX(Floors!$K$2:$K$201, IFERROR(MATCH(ROW()-1-0.0001, Floors!$L$2:$L$201, 1), 0)+1))</f>
        <v/>
      </c>
    </row>
    <row r="190">
      <c r="A190" s="6">
        <f>IF(J190="","",IF(J190=J189,"",J190))</f>
        <v/>
      </c>
      <c r="B190" s="6">
        <f>IF(K190="","",IF(K190=K189,"",K190))</f>
        <v/>
      </c>
      <c r="C190" s="5">
        <f>IF(L190="","",IF(L190=L189,"",L190))</f>
        <v/>
      </c>
      <c r="D190" s="6">
        <f>IF(L190="","", SUBSTITUTE(M190," Floor","") &amp; " " &amp; CHOOSE(MIN((ROW()-1)-IFERROR(INDEX(Floors!$L$2:$L$201, MATCH(ROW()-1-0.0001, Floors!$L$2:$L$201, 1)), 0), 4), "North", "South", "East", "West"))</f>
        <v/>
      </c>
      <c r="E190" s="12" t="n"/>
      <c r="F190" s="12" t="n"/>
      <c r="G190" s="12" t="n"/>
      <c r="H190" s="16" t="n"/>
      <c r="I190" s="16" t="n"/>
      <c r="J190" s="15">
        <f>IF(ROW()-1&gt;SUM(Floors!$E$2:$E$201), "", INDEX(Floors!$F$2:$F$201, IFERROR(MATCH(ROW()-1-0.0001, Floors!$L$2:$L$201, 1), 0)+1))</f>
        <v/>
      </c>
      <c r="K190" s="15">
        <f>IF(ROW()-1&gt;SUM(Floors!$E$2:$E$201), "", INDEX(Floors!$H$2:$H$201, IFERROR(MATCH(ROW()-1-0.0001, Floors!$L$2:$L$201, 1), 0)+1))</f>
        <v/>
      </c>
      <c r="L190" s="14">
        <f>IF(ROW()-1&gt;SUM(Floors!$E$2:$E$201), "", INDEX(Floors!$D$2:$D$201, IFERROR(MATCH(ROW()-1-0.0001, Floors!$L$2:$L$201, 1), 0)+1))</f>
        <v/>
      </c>
      <c r="M190" s="15">
        <f>IF(ROW()-1&gt;SUM(Floors!$E$2:$E$201), "", INDEX(Floors!$K$2:$K$201, IFERROR(MATCH(ROW()-1-0.0001, Floors!$L$2:$L$201, 1), 0)+1))</f>
        <v/>
      </c>
    </row>
    <row r="191">
      <c r="A191" s="6">
        <f>IF(J191="","",IF(J191=J190,"",J191))</f>
        <v/>
      </c>
      <c r="B191" s="6">
        <f>IF(K191="","",IF(K191=K190,"",K191))</f>
        <v/>
      </c>
      <c r="C191" s="5">
        <f>IF(L191="","",IF(L191=L190,"",L191))</f>
        <v/>
      </c>
      <c r="D191" s="6">
        <f>IF(L191="","", SUBSTITUTE(M191," Floor","") &amp; " " &amp; CHOOSE(MIN((ROW()-1)-IFERROR(INDEX(Floors!$L$2:$L$201, MATCH(ROW()-1-0.0001, Floors!$L$2:$L$201, 1)), 0), 4), "North", "South", "East", "West"))</f>
        <v/>
      </c>
      <c r="E191" s="12" t="n"/>
      <c r="F191" s="12" t="n"/>
      <c r="G191" s="12" t="n"/>
      <c r="H191" s="16" t="n"/>
      <c r="I191" s="16" t="n"/>
      <c r="J191" s="15">
        <f>IF(ROW()-1&gt;SUM(Floors!$E$2:$E$201), "", INDEX(Floors!$F$2:$F$201, IFERROR(MATCH(ROW()-1-0.0001, Floors!$L$2:$L$201, 1), 0)+1))</f>
        <v/>
      </c>
      <c r="K191" s="15">
        <f>IF(ROW()-1&gt;SUM(Floors!$E$2:$E$201), "", INDEX(Floors!$H$2:$H$201, IFERROR(MATCH(ROW()-1-0.0001, Floors!$L$2:$L$201, 1), 0)+1))</f>
        <v/>
      </c>
      <c r="L191" s="14">
        <f>IF(ROW()-1&gt;SUM(Floors!$E$2:$E$201), "", INDEX(Floors!$D$2:$D$201, IFERROR(MATCH(ROW()-1-0.0001, Floors!$L$2:$L$201, 1), 0)+1))</f>
        <v/>
      </c>
      <c r="M191" s="15">
        <f>IF(ROW()-1&gt;SUM(Floors!$E$2:$E$201), "", INDEX(Floors!$K$2:$K$201, IFERROR(MATCH(ROW()-1-0.0001, Floors!$L$2:$L$201, 1), 0)+1))</f>
        <v/>
      </c>
    </row>
    <row r="192">
      <c r="A192" s="6">
        <f>IF(J192="","",IF(J192=J191,"",J192))</f>
        <v/>
      </c>
      <c r="B192" s="6">
        <f>IF(K192="","",IF(K192=K191,"",K192))</f>
        <v/>
      </c>
      <c r="C192" s="5">
        <f>IF(L192="","",IF(L192=L191,"",L192))</f>
        <v/>
      </c>
      <c r="D192" s="6">
        <f>IF(L192="","", SUBSTITUTE(M192," Floor","") &amp; " " &amp; CHOOSE(MIN((ROW()-1)-IFERROR(INDEX(Floors!$L$2:$L$201, MATCH(ROW()-1-0.0001, Floors!$L$2:$L$201, 1)), 0), 4), "North", "South", "East", "West"))</f>
        <v/>
      </c>
      <c r="E192" s="12" t="n"/>
      <c r="F192" s="12" t="n"/>
      <c r="G192" s="12" t="n"/>
      <c r="H192" s="16" t="n"/>
      <c r="I192" s="16" t="n"/>
      <c r="J192" s="15">
        <f>IF(ROW()-1&gt;SUM(Floors!$E$2:$E$201), "", INDEX(Floors!$F$2:$F$201, IFERROR(MATCH(ROW()-1-0.0001, Floors!$L$2:$L$201, 1), 0)+1))</f>
        <v/>
      </c>
      <c r="K192" s="15">
        <f>IF(ROW()-1&gt;SUM(Floors!$E$2:$E$201), "", INDEX(Floors!$H$2:$H$201, IFERROR(MATCH(ROW()-1-0.0001, Floors!$L$2:$L$201, 1), 0)+1))</f>
        <v/>
      </c>
      <c r="L192" s="14">
        <f>IF(ROW()-1&gt;SUM(Floors!$E$2:$E$201), "", INDEX(Floors!$D$2:$D$201, IFERROR(MATCH(ROW()-1-0.0001, Floors!$L$2:$L$201, 1), 0)+1))</f>
        <v/>
      </c>
      <c r="M192" s="15">
        <f>IF(ROW()-1&gt;SUM(Floors!$E$2:$E$201), "", INDEX(Floors!$K$2:$K$201, IFERROR(MATCH(ROW()-1-0.0001, Floors!$L$2:$L$201, 1), 0)+1))</f>
        <v/>
      </c>
    </row>
    <row r="193">
      <c r="A193" s="6">
        <f>IF(J193="","",IF(J193=J192,"",J193))</f>
        <v/>
      </c>
      <c r="B193" s="6">
        <f>IF(K193="","",IF(K193=K192,"",K193))</f>
        <v/>
      </c>
      <c r="C193" s="5">
        <f>IF(L193="","",IF(L193=L192,"",L193))</f>
        <v/>
      </c>
      <c r="D193" s="6">
        <f>IF(L193="","", SUBSTITUTE(M193," Floor","") &amp; " " &amp; CHOOSE(MIN((ROW()-1)-IFERROR(INDEX(Floors!$L$2:$L$201, MATCH(ROW()-1-0.0001, Floors!$L$2:$L$201, 1)), 0), 4), "North", "South", "East", "West"))</f>
        <v/>
      </c>
      <c r="E193" s="12" t="n"/>
      <c r="F193" s="12" t="n"/>
      <c r="G193" s="12" t="n"/>
      <c r="H193" s="16" t="n"/>
      <c r="I193" s="16" t="n"/>
      <c r="J193" s="15">
        <f>IF(ROW()-1&gt;SUM(Floors!$E$2:$E$201), "", INDEX(Floors!$F$2:$F$201, IFERROR(MATCH(ROW()-1-0.0001, Floors!$L$2:$L$201, 1), 0)+1))</f>
        <v/>
      </c>
      <c r="K193" s="15">
        <f>IF(ROW()-1&gt;SUM(Floors!$E$2:$E$201), "", INDEX(Floors!$H$2:$H$201, IFERROR(MATCH(ROW()-1-0.0001, Floors!$L$2:$L$201, 1), 0)+1))</f>
        <v/>
      </c>
      <c r="L193" s="14">
        <f>IF(ROW()-1&gt;SUM(Floors!$E$2:$E$201), "", INDEX(Floors!$D$2:$D$201, IFERROR(MATCH(ROW()-1-0.0001, Floors!$L$2:$L$201, 1), 0)+1))</f>
        <v/>
      </c>
      <c r="M193" s="15">
        <f>IF(ROW()-1&gt;SUM(Floors!$E$2:$E$201), "", INDEX(Floors!$K$2:$K$201, IFERROR(MATCH(ROW()-1-0.0001, Floors!$L$2:$L$201, 1), 0)+1))</f>
        <v/>
      </c>
    </row>
    <row r="194">
      <c r="A194" s="6">
        <f>IF(J194="","",IF(J194=J193,"",J194))</f>
        <v/>
      </c>
      <c r="B194" s="6">
        <f>IF(K194="","",IF(K194=K193,"",K194))</f>
        <v/>
      </c>
      <c r="C194" s="5">
        <f>IF(L194="","",IF(L194=L193,"",L194))</f>
        <v/>
      </c>
      <c r="D194" s="6">
        <f>IF(L194="","", SUBSTITUTE(M194," Floor","") &amp; " " &amp; CHOOSE(MIN((ROW()-1)-IFERROR(INDEX(Floors!$L$2:$L$201, MATCH(ROW()-1-0.0001, Floors!$L$2:$L$201, 1)), 0), 4), "North", "South", "East", "West"))</f>
        <v/>
      </c>
      <c r="E194" s="12" t="n"/>
      <c r="F194" s="12" t="n"/>
      <c r="G194" s="12" t="n"/>
      <c r="H194" s="16" t="n"/>
      <c r="I194" s="16" t="n"/>
      <c r="J194" s="15">
        <f>IF(ROW()-1&gt;SUM(Floors!$E$2:$E$201), "", INDEX(Floors!$F$2:$F$201, IFERROR(MATCH(ROW()-1-0.0001, Floors!$L$2:$L$201, 1), 0)+1))</f>
        <v/>
      </c>
      <c r="K194" s="15">
        <f>IF(ROW()-1&gt;SUM(Floors!$E$2:$E$201), "", INDEX(Floors!$H$2:$H$201, IFERROR(MATCH(ROW()-1-0.0001, Floors!$L$2:$L$201, 1), 0)+1))</f>
        <v/>
      </c>
      <c r="L194" s="14">
        <f>IF(ROW()-1&gt;SUM(Floors!$E$2:$E$201), "", INDEX(Floors!$D$2:$D$201, IFERROR(MATCH(ROW()-1-0.0001, Floors!$L$2:$L$201, 1), 0)+1))</f>
        <v/>
      </c>
      <c r="M194" s="15">
        <f>IF(ROW()-1&gt;SUM(Floors!$E$2:$E$201), "", INDEX(Floors!$K$2:$K$201, IFERROR(MATCH(ROW()-1-0.0001, Floors!$L$2:$L$201, 1), 0)+1))</f>
        <v/>
      </c>
    </row>
    <row r="195">
      <c r="A195" s="6">
        <f>IF(J195="","",IF(J195=J194,"",J195))</f>
        <v/>
      </c>
      <c r="B195" s="6">
        <f>IF(K195="","",IF(K195=K194,"",K195))</f>
        <v/>
      </c>
      <c r="C195" s="5">
        <f>IF(L195="","",IF(L195=L194,"",L195))</f>
        <v/>
      </c>
      <c r="D195" s="6">
        <f>IF(L195="","", SUBSTITUTE(M195," Floor","") &amp; " " &amp; CHOOSE(MIN((ROW()-1)-IFERROR(INDEX(Floors!$L$2:$L$201, MATCH(ROW()-1-0.0001, Floors!$L$2:$L$201, 1)), 0), 4), "North", "South", "East", "West"))</f>
        <v/>
      </c>
      <c r="E195" s="12" t="n"/>
      <c r="F195" s="12" t="n"/>
      <c r="G195" s="12" t="n"/>
      <c r="H195" s="16" t="n"/>
      <c r="I195" s="16" t="n"/>
      <c r="J195" s="15">
        <f>IF(ROW()-1&gt;SUM(Floors!$E$2:$E$201), "", INDEX(Floors!$F$2:$F$201, IFERROR(MATCH(ROW()-1-0.0001, Floors!$L$2:$L$201, 1), 0)+1))</f>
        <v/>
      </c>
      <c r="K195" s="15">
        <f>IF(ROW()-1&gt;SUM(Floors!$E$2:$E$201), "", INDEX(Floors!$H$2:$H$201, IFERROR(MATCH(ROW()-1-0.0001, Floors!$L$2:$L$201, 1), 0)+1))</f>
        <v/>
      </c>
      <c r="L195" s="14">
        <f>IF(ROW()-1&gt;SUM(Floors!$E$2:$E$201), "", INDEX(Floors!$D$2:$D$201, IFERROR(MATCH(ROW()-1-0.0001, Floors!$L$2:$L$201, 1), 0)+1))</f>
        <v/>
      </c>
      <c r="M195" s="15">
        <f>IF(ROW()-1&gt;SUM(Floors!$E$2:$E$201), "", INDEX(Floors!$K$2:$K$201, IFERROR(MATCH(ROW()-1-0.0001, Floors!$L$2:$L$201, 1), 0)+1))</f>
        <v/>
      </c>
    </row>
    <row r="196">
      <c r="A196" s="6">
        <f>IF(J196="","",IF(J196=J195,"",J196))</f>
        <v/>
      </c>
      <c r="B196" s="6">
        <f>IF(K196="","",IF(K196=K195,"",K196))</f>
        <v/>
      </c>
      <c r="C196" s="5">
        <f>IF(L196="","",IF(L196=L195,"",L196))</f>
        <v/>
      </c>
      <c r="D196" s="6">
        <f>IF(L196="","", SUBSTITUTE(M196," Floor","") &amp; " " &amp; CHOOSE(MIN((ROW()-1)-IFERROR(INDEX(Floors!$L$2:$L$201, MATCH(ROW()-1-0.0001, Floors!$L$2:$L$201, 1)), 0), 4), "North", "South", "East", "West"))</f>
        <v/>
      </c>
      <c r="E196" s="12" t="n"/>
      <c r="F196" s="12" t="n"/>
      <c r="G196" s="12" t="n"/>
      <c r="H196" s="16" t="n"/>
      <c r="I196" s="16" t="n"/>
      <c r="J196" s="15">
        <f>IF(ROW()-1&gt;SUM(Floors!$E$2:$E$201), "", INDEX(Floors!$F$2:$F$201, IFERROR(MATCH(ROW()-1-0.0001, Floors!$L$2:$L$201, 1), 0)+1))</f>
        <v/>
      </c>
      <c r="K196" s="15">
        <f>IF(ROW()-1&gt;SUM(Floors!$E$2:$E$201), "", INDEX(Floors!$H$2:$H$201, IFERROR(MATCH(ROW()-1-0.0001, Floors!$L$2:$L$201, 1), 0)+1))</f>
        <v/>
      </c>
      <c r="L196" s="14">
        <f>IF(ROW()-1&gt;SUM(Floors!$E$2:$E$201), "", INDEX(Floors!$D$2:$D$201, IFERROR(MATCH(ROW()-1-0.0001, Floors!$L$2:$L$201, 1), 0)+1))</f>
        <v/>
      </c>
      <c r="M196" s="15">
        <f>IF(ROW()-1&gt;SUM(Floors!$E$2:$E$201), "", INDEX(Floors!$K$2:$K$201, IFERROR(MATCH(ROW()-1-0.0001, Floors!$L$2:$L$201, 1), 0)+1))</f>
        <v/>
      </c>
    </row>
    <row r="197">
      <c r="A197" s="6">
        <f>IF(J197="","",IF(J197=J196,"",J197))</f>
        <v/>
      </c>
      <c r="B197" s="6">
        <f>IF(K197="","",IF(K197=K196,"",K197))</f>
        <v/>
      </c>
      <c r="C197" s="5">
        <f>IF(L197="","",IF(L197=L196,"",L197))</f>
        <v/>
      </c>
      <c r="D197" s="6">
        <f>IF(L197="","", SUBSTITUTE(M197," Floor","") &amp; " " &amp; CHOOSE(MIN((ROW()-1)-IFERROR(INDEX(Floors!$L$2:$L$201, MATCH(ROW()-1-0.0001, Floors!$L$2:$L$201, 1)), 0), 4), "North", "South", "East", "West"))</f>
        <v/>
      </c>
      <c r="E197" s="12" t="n"/>
      <c r="F197" s="12" t="n"/>
      <c r="G197" s="12" t="n"/>
      <c r="H197" s="16" t="n"/>
      <c r="I197" s="16" t="n"/>
      <c r="J197" s="15">
        <f>IF(ROW()-1&gt;SUM(Floors!$E$2:$E$201), "", INDEX(Floors!$F$2:$F$201, IFERROR(MATCH(ROW()-1-0.0001, Floors!$L$2:$L$201, 1), 0)+1))</f>
        <v/>
      </c>
      <c r="K197" s="15">
        <f>IF(ROW()-1&gt;SUM(Floors!$E$2:$E$201), "", INDEX(Floors!$H$2:$H$201, IFERROR(MATCH(ROW()-1-0.0001, Floors!$L$2:$L$201, 1), 0)+1))</f>
        <v/>
      </c>
      <c r="L197" s="14">
        <f>IF(ROW()-1&gt;SUM(Floors!$E$2:$E$201), "", INDEX(Floors!$D$2:$D$201, IFERROR(MATCH(ROW()-1-0.0001, Floors!$L$2:$L$201, 1), 0)+1))</f>
        <v/>
      </c>
      <c r="M197" s="15">
        <f>IF(ROW()-1&gt;SUM(Floors!$E$2:$E$201), "", INDEX(Floors!$K$2:$K$201, IFERROR(MATCH(ROW()-1-0.0001, Floors!$L$2:$L$201, 1), 0)+1))</f>
        <v/>
      </c>
    </row>
    <row r="198">
      <c r="A198" s="6">
        <f>IF(J198="","",IF(J198=J197,"",J198))</f>
        <v/>
      </c>
      <c r="B198" s="6">
        <f>IF(K198="","",IF(K198=K197,"",K198))</f>
        <v/>
      </c>
      <c r="C198" s="5">
        <f>IF(L198="","",IF(L198=L197,"",L198))</f>
        <v/>
      </c>
      <c r="D198" s="6">
        <f>IF(L198="","", SUBSTITUTE(M198," Floor","") &amp; " " &amp; CHOOSE(MIN((ROW()-1)-IFERROR(INDEX(Floors!$L$2:$L$201, MATCH(ROW()-1-0.0001, Floors!$L$2:$L$201, 1)), 0), 4), "North", "South", "East", "West"))</f>
        <v/>
      </c>
      <c r="E198" s="12" t="n"/>
      <c r="F198" s="12" t="n"/>
      <c r="G198" s="12" t="n"/>
      <c r="H198" s="16" t="n"/>
      <c r="I198" s="16" t="n"/>
      <c r="J198" s="15">
        <f>IF(ROW()-1&gt;SUM(Floors!$E$2:$E$201), "", INDEX(Floors!$F$2:$F$201, IFERROR(MATCH(ROW()-1-0.0001, Floors!$L$2:$L$201, 1), 0)+1))</f>
        <v/>
      </c>
      <c r="K198" s="15">
        <f>IF(ROW()-1&gt;SUM(Floors!$E$2:$E$201), "", INDEX(Floors!$H$2:$H$201, IFERROR(MATCH(ROW()-1-0.0001, Floors!$L$2:$L$201, 1), 0)+1))</f>
        <v/>
      </c>
      <c r="L198" s="14">
        <f>IF(ROW()-1&gt;SUM(Floors!$E$2:$E$201), "", INDEX(Floors!$D$2:$D$201, IFERROR(MATCH(ROW()-1-0.0001, Floors!$L$2:$L$201, 1), 0)+1))</f>
        <v/>
      </c>
      <c r="M198" s="15">
        <f>IF(ROW()-1&gt;SUM(Floors!$E$2:$E$201), "", INDEX(Floors!$K$2:$K$201, IFERROR(MATCH(ROW()-1-0.0001, Floors!$L$2:$L$201, 1), 0)+1))</f>
        <v/>
      </c>
    </row>
    <row r="199">
      <c r="A199" s="6">
        <f>IF(J199="","",IF(J199=J198,"",J199))</f>
        <v/>
      </c>
      <c r="B199" s="6">
        <f>IF(K199="","",IF(K199=K198,"",K199))</f>
        <v/>
      </c>
      <c r="C199" s="5">
        <f>IF(L199="","",IF(L199=L198,"",L199))</f>
        <v/>
      </c>
      <c r="D199" s="6">
        <f>IF(L199="","", SUBSTITUTE(M199," Floor","") &amp; " " &amp; CHOOSE(MIN((ROW()-1)-IFERROR(INDEX(Floors!$L$2:$L$201, MATCH(ROW()-1-0.0001, Floors!$L$2:$L$201, 1)), 0), 4), "North", "South", "East", "West"))</f>
        <v/>
      </c>
      <c r="E199" s="12" t="n"/>
      <c r="F199" s="12" t="n"/>
      <c r="G199" s="12" t="n"/>
      <c r="H199" s="16" t="n"/>
      <c r="I199" s="16" t="n"/>
      <c r="J199" s="15">
        <f>IF(ROW()-1&gt;SUM(Floors!$E$2:$E$201), "", INDEX(Floors!$F$2:$F$201, IFERROR(MATCH(ROW()-1-0.0001, Floors!$L$2:$L$201, 1), 0)+1))</f>
        <v/>
      </c>
      <c r="K199" s="15">
        <f>IF(ROW()-1&gt;SUM(Floors!$E$2:$E$201), "", INDEX(Floors!$H$2:$H$201, IFERROR(MATCH(ROW()-1-0.0001, Floors!$L$2:$L$201, 1), 0)+1))</f>
        <v/>
      </c>
      <c r="L199" s="14">
        <f>IF(ROW()-1&gt;SUM(Floors!$E$2:$E$201), "", INDEX(Floors!$D$2:$D$201, IFERROR(MATCH(ROW()-1-0.0001, Floors!$L$2:$L$201, 1), 0)+1))</f>
        <v/>
      </c>
      <c r="M199" s="15">
        <f>IF(ROW()-1&gt;SUM(Floors!$E$2:$E$201), "", INDEX(Floors!$K$2:$K$201, IFERROR(MATCH(ROW()-1-0.0001, Floors!$L$2:$L$201, 1), 0)+1))</f>
        <v/>
      </c>
    </row>
    <row r="200">
      <c r="A200" s="6">
        <f>IF(J200="","",IF(J200=J199,"",J200))</f>
        <v/>
      </c>
      <c r="B200" s="6">
        <f>IF(K200="","",IF(K200=K199,"",K200))</f>
        <v/>
      </c>
      <c r="C200" s="5">
        <f>IF(L200="","",IF(L200=L199,"",L200))</f>
        <v/>
      </c>
      <c r="D200" s="6">
        <f>IF(L200="","", SUBSTITUTE(M200," Floor","") &amp; " " &amp; CHOOSE(MIN((ROW()-1)-IFERROR(INDEX(Floors!$L$2:$L$201, MATCH(ROW()-1-0.0001, Floors!$L$2:$L$201, 1)), 0), 4), "North", "South", "East", "West"))</f>
        <v/>
      </c>
      <c r="E200" s="12" t="n"/>
      <c r="F200" s="12" t="n"/>
      <c r="G200" s="12" t="n"/>
      <c r="H200" s="16" t="n"/>
      <c r="I200" s="16" t="n"/>
      <c r="J200" s="15">
        <f>IF(ROW()-1&gt;SUM(Floors!$E$2:$E$201), "", INDEX(Floors!$F$2:$F$201, IFERROR(MATCH(ROW()-1-0.0001, Floors!$L$2:$L$201, 1), 0)+1))</f>
        <v/>
      </c>
      <c r="K200" s="15">
        <f>IF(ROW()-1&gt;SUM(Floors!$E$2:$E$201), "", INDEX(Floors!$H$2:$H$201, IFERROR(MATCH(ROW()-1-0.0001, Floors!$L$2:$L$201, 1), 0)+1))</f>
        <v/>
      </c>
      <c r="L200" s="14">
        <f>IF(ROW()-1&gt;SUM(Floors!$E$2:$E$201), "", INDEX(Floors!$D$2:$D$201, IFERROR(MATCH(ROW()-1-0.0001, Floors!$L$2:$L$201, 1), 0)+1))</f>
        <v/>
      </c>
      <c r="M200" s="15">
        <f>IF(ROW()-1&gt;SUM(Floors!$E$2:$E$201), "", INDEX(Floors!$K$2:$K$201, IFERROR(MATCH(ROW()-1-0.0001, Floors!$L$2:$L$201, 1), 0)+1))</f>
        <v/>
      </c>
    </row>
    <row r="201">
      <c r="A201" s="6">
        <f>IF(J201="","",IF(J201=J200,"",J201))</f>
        <v/>
      </c>
      <c r="B201" s="6">
        <f>IF(K201="","",IF(K201=K200,"",K201))</f>
        <v/>
      </c>
      <c r="C201" s="5">
        <f>IF(L201="","",IF(L201=L200,"",L201))</f>
        <v/>
      </c>
      <c r="D201" s="6">
        <f>IF(L201="","", SUBSTITUTE(M201," Floor","") &amp; " " &amp; CHOOSE(MIN((ROW()-1)-IFERROR(INDEX(Floors!$L$2:$L$201, MATCH(ROW()-1-0.0001, Floors!$L$2:$L$201, 1)), 0), 4), "North", "South", "East", "West"))</f>
        <v/>
      </c>
      <c r="E201" s="12" t="n"/>
      <c r="F201" s="12" t="n"/>
      <c r="G201" s="12" t="n"/>
      <c r="H201" s="16" t="n"/>
      <c r="I201" s="16" t="n"/>
      <c r="J201" s="15">
        <f>IF(ROW()-1&gt;SUM(Floors!$E$2:$E$201), "", INDEX(Floors!$F$2:$F$201, IFERROR(MATCH(ROW()-1-0.0001, Floors!$L$2:$L$201, 1), 0)+1))</f>
        <v/>
      </c>
      <c r="K201" s="15">
        <f>IF(ROW()-1&gt;SUM(Floors!$E$2:$E$201), "", INDEX(Floors!$H$2:$H$201, IFERROR(MATCH(ROW()-1-0.0001, Floors!$L$2:$L$201, 1), 0)+1))</f>
        <v/>
      </c>
      <c r="L201" s="14">
        <f>IF(ROW()-1&gt;SUM(Floors!$E$2:$E$201), "", INDEX(Floors!$D$2:$D$201, IFERROR(MATCH(ROW()-1-0.0001, Floors!$L$2:$L$201, 1), 0)+1))</f>
        <v/>
      </c>
      <c r="M201" s="15">
        <f>IF(ROW()-1&gt;SUM(Floors!$E$2:$E$201), "", INDEX(Floors!$K$2:$K$201, IFERROR(MATCH(ROW()-1-0.0001, Floors!$L$2:$L$201, 1), 0)+1))</f>
        <v/>
      </c>
    </row>
    <row r="202">
      <c r="A202" s="6">
        <f>IF(J202="","",IF(J202=J201,"",J202))</f>
        <v/>
      </c>
      <c r="B202" s="6">
        <f>IF(K202="","",IF(K202=K201,"",K202))</f>
        <v/>
      </c>
      <c r="C202" s="5">
        <f>IF(L202="","",IF(L202=L201,"",L202))</f>
        <v/>
      </c>
      <c r="D202" s="6">
        <f>IF(L202="","", SUBSTITUTE(M202," Floor","") &amp; " " &amp; CHOOSE(MIN((ROW()-1)-IFERROR(INDEX(Floors!$L$2:$L$201, MATCH(ROW()-1-0.0001, Floors!$L$2:$L$201, 1)), 0), 4), "North", "South", "East", "West"))</f>
        <v/>
      </c>
      <c r="E202" s="12" t="n"/>
      <c r="F202" s="12" t="n"/>
      <c r="G202" s="12" t="n"/>
      <c r="H202" s="16" t="n"/>
      <c r="I202" s="16" t="n"/>
      <c r="J202" s="15">
        <f>IF(ROW()-1&gt;SUM(Floors!$E$2:$E$201), "", INDEX(Floors!$F$2:$F$201, IFERROR(MATCH(ROW()-1-0.0001, Floors!$L$2:$L$201, 1), 0)+1))</f>
        <v/>
      </c>
      <c r="K202" s="15">
        <f>IF(ROW()-1&gt;SUM(Floors!$E$2:$E$201), "", INDEX(Floors!$H$2:$H$201, IFERROR(MATCH(ROW()-1-0.0001, Floors!$L$2:$L$201, 1), 0)+1))</f>
        <v/>
      </c>
      <c r="L202" s="14">
        <f>IF(ROW()-1&gt;SUM(Floors!$E$2:$E$201), "", INDEX(Floors!$D$2:$D$201, IFERROR(MATCH(ROW()-1-0.0001, Floors!$L$2:$L$201, 1), 0)+1))</f>
        <v/>
      </c>
      <c r="M202" s="15">
        <f>IF(ROW()-1&gt;SUM(Floors!$E$2:$E$201), "", INDEX(Floors!$K$2:$K$201, IFERROR(MATCH(ROW()-1-0.0001, Floors!$L$2:$L$201, 1), 0)+1))</f>
        <v/>
      </c>
    </row>
    <row r="203">
      <c r="A203" s="6">
        <f>IF(J203="","",IF(J203=J202,"",J203))</f>
        <v/>
      </c>
      <c r="B203" s="6">
        <f>IF(K203="","",IF(K203=K202,"",K203))</f>
        <v/>
      </c>
      <c r="C203" s="5">
        <f>IF(L203="","",IF(L203=L202,"",L203))</f>
        <v/>
      </c>
      <c r="D203" s="6">
        <f>IF(L203="","", SUBSTITUTE(M203," Floor","") &amp; " " &amp; CHOOSE(MIN((ROW()-1)-IFERROR(INDEX(Floors!$L$2:$L$201, MATCH(ROW()-1-0.0001, Floors!$L$2:$L$201, 1)), 0), 4), "North", "South", "East", "West"))</f>
        <v/>
      </c>
      <c r="E203" s="12" t="n"/>
      <c r="F203" s="12" t="n"/>
      <c r="G203" s="12" t="n"/>
      <c r="H203" s="16" t="n"/>
      <c r="I203" s="16" t="n"/>
      <c r="J203" s="15">
        <f>IF(ROW()-1&gt;SUM(Floors!$E$2:$E$201), "", INDEX(Floors!$F$2:$F$201, IFERROR(MATCH(ROW()-1-0.0001, Floors!$L$2:$L$201, 1), 0)+1))</f>
        <v/>
      </c>
      <c r="K203" s="15">
        <f>IF(ROW()-1&gt;SUM(Floors!$E$2:$E$201), "", INDEX(Floors!$H$2:$H$201, IFERROR(MATCH(ROW()-1-0.0001, Floors!$L$2:$L$201, 1), 0)+1))</f>
        <v/>
      </c>
      <c r="L203" s="14">
        <f>IF(ROW()-1&gt;SUM(Floors!$E$2:$E$201), "", INDEX(Floors!$D$2:$D$201, IFERROR(MATCH(ROW()-1-0.0001, Floors!$L$2:$L$201, 1), 0)+1))</f>
        <v/>
      </c>
      <c r="M203" s="15">
        <f>IF(ROW()-1&gt;SUM(Floors!$E$2:$E$201), "", INDEX(Floors!$K$2:$K$201, IFERROR(MATCH(ROW()-1-0.0001, Floors!$L$2:$L$201, 1), 0)+1))</f>
        <v/>
      </c>
    </row>
    <row r="204">
      <c r="A204" s="6">
        <f>IF(J204="","",IF(J204=J203,"",J204))</f>
        <v/>
      </c>
      <c r="B204" s="6">
        <f>IF(K204="","",IF(K204=K203,"",K204))</f>
        <v/>
      </c>
      <c r="C204" s="5">
        <f>IF(L204="","",IF(L204=L203,"",L204))</f>
        <v/>
      </c>
      <c r="D204" s="6">
        <f>IF(L204="","", SUBSTITUTE(M204," Floor","") &amp; " " &amp; CHOOSE(MIN((ROW()-1)-IFERROR(INDEX(Floors!$L$2:$L$201, MATCH(ROW()-1-0.0001, Floors!$L$2:$L$201, 1)), 0), 4), "North", "South", "East", "West"))</f>
        <v/>
      </c>
      <c r="E204" s="12" t="n"/>
      <c r="F204" s="12" t="n"/>
      <c r="G204" s="12" t="n"/>
      <c r="H204" s="16" t="n"/>
      <c r="I204" s="16" t="n"/>
      <c r="J204" s="15">
        <f>IF(ROW()-1&gt;SUM(Floors!$E$2:$E$201), "", INDEX(Floors!$F$2:$F$201, IFERROR(MATCH(ROW()-1-0.0001, Floors!$L$2:$L$201, 1), 0)+1))</f>
        <v/>
      </c>
      <c r="K204" s="15">
        <f>IF(ROW()-1&gt;SUM(Floors!$E$2:$E$201), "", INDEX(Floors!$H$2:$H$201, IFERROR(MATCH(ROW()-1-0.0001, Floors!$L$2:$L$201, 1), 0)+1))</f>
        <v/>
      </c>
      <c r="L204" s="14">
        <f>IF(ROW()-1&gt;SUM(Floors!$E$2:$E$201), "", INDEX(Floors!$D$2:$D$201, IFERROR(MATCH(ROW()-1-0.0001, Floors!$L$2:$L$201, 1), 0)+1))</f>
        <v/>
      </c>
      <c r="M204" s="15">
        <f>IF(ROW()-1&gt;SUM(Floors!$E$2:$E$201), "", INDEX(Floors!$K$2:$K$201, IFERROR(MATCH(ROW()-1-0.0001, Floors!$L$2:$L$201, 1), 0)+1))</f>
        <v/>
      </c>
    </row>
    <row r="205">
      <c r="A205" s="6">
        <f>IF(J205="","",IF(J205=J204,"",J205))</f>
        <v/>
      </c>
      <c r="B205" s="6">
        <f>IF(K205="","",IF(K205=K204,"",K205))</f>
        <v/>
      </c>
      <c r="C205" s="5">
        <f>IF(L205="","",IF(L205=L204,"",L205))</f>
        <v/>
      </c>
      <c r="D205" s="6">
        <f>IF(L205="","", SUBSTITUTE(M205," Floor","") &amp; " " &amp; CHOOSE(MIN((ROW()-1)-IFERROR(INDEX(Floors!$L$2:$L$201, MATCH(ROW()-1-0.0001, Floors!$L$2:$L$201, 1)), 0), 4), "North", "South", "East", "West"))</f>
        <v/>
      </c>
      <c r="E205" s="12" t="n"/>
      <c r="F205" s="12" t="n"/>
      <c r="G205" s="12" t="n"/>
      <c r="H205" s="16" t="n"/>
      <c r="I205" s="16" t="n"/>
      <c r="J205" s="15">
        <f>IF(ROW()-1&gt;SUM(Floors!$E$2:$E$201), "", INDEX(Floors!$F$2:$F$201, IFERROR(MATCH(ROW()-1-0.0001, Floors!$L$2:$L$201, 1), 0)+1))</f>
        <v/>
      </c>
      <c r="K205" s="15">
        <f>IF(ROW()-1&gt;SUM(Floors!$E$2:$E$201), "", INDEX(Floors!$H$2:$H$201, IFERROR(MATCH(ROW()-1-0.0001, Floors!$L$2:$L$201, 1), 0)+1))</f>
        <v/>
      </c>
      <c r="L205" s="14">
        <f>IF(ROW()-1&gt;SUM(Floors!$E$2:$E$201), "", INDEX(Floors!$D$2:$D$201, IFERROR(MATCH(ROW()-1-0.0001, Floors!$L$2:$L$201, 1), 0)+1))</f>
        <v/>
      </c>
      <c r="M205" s="15">
        <f>IF(ROW()-1&gt;SUM(Floors!$E$2:$E$201), "", INDEX(Floors!$K$2:$K$201, IFERROR(MATCH(ROW()-1-0.0001, Floors!$L$2:$L$201, 1), 0)+1))</f>
        <v/>
      </c>
    </row>
    <row r="206">
      <c r="A206" s="6">
        <f>IF(J206="","",IF(J206=J205,"",J206))</f>
        <v/>
      </c>
      <c r="B206" s="6">
        <f>IF(K206="","",IF(K206=K205,"",K206))</f>
        <v/>
      </c>
      <c r="C206" s="5">
        <f>IF(L206="","",IF(L206=L205,"",L206))</f>
        <v/>
      </c>
      <c r="D206" s="6">
        <f>IF(L206="","", SUBSTITUTE(M206," Floor","") &amp; " " &amp; CHOOSE(MIN((ROW()-1)-IFERROR(INDEX(Floors!$L$2:$L$201, MATCH(ROW()-1-0.0001, Floors!$L$2:$L$201, 1)), 0), 4), "North", "South", "East", "West"))</f>
        <v/>
      </c>
      <c r="E206" s="12" t="n"/>
      <c r="F206" s="12" t="n"/>
      <c r="G206" s="12" t="n"/>
      <c r="H206" s="16" t="n"/>
      <c r="I206" s="16" t="n"/>
      <c r="J206" s="15">
        <f>IF(ROW()-1&gt;SUM(Floors!$E$2:$E$201), "", INDEX(Floors!$F$2:$F$201, IFERROR(MATCH(ROW()-1-0.0001, Floors!$L$2:$L$201, 1), 0)+1))</f>
        <v/>
      </c>
      <c r="K206" s="15">
        <f>IF(ROW()-1&gt;SUM(Floors!$E$2:$E$201), "", INDEX(Floors!$H$2:$H$201, IFERROR(MATCH(ROW()-1-0.0001, Floors!$L$2:$L$201, 1), 0)+1))</f>
        <v/>
      </c>
      <c r="L206" s="14">
        <f>IF(ROW()-1&gt;SUM(Floors!$E$2:$E$201), "", INDEX(Floors!$D$2:$D$201, IFERROR(MATCH(ROW()-1-0.0001, Floors!$L$2:$L$201, 1), 0)+1))</f>
        <v/>
      </c>
      <c r="M206" s="15">
        <f>IF(ROW()-1&gt;SUM(Floors!$E$2:$E$201), "", INDEX(Floors!$K$2:$K$201, IFERROR(MATCH(ROW()-1-0.0001, Floors!$L$2:$L$201, 1), 0)+1))</f>
        <v/>
      </c>
    </row>
    <row r="207">
      <c r="A207" s="6">
        <f>IF(J207="","",IF(J207=J206,"",J207))</f>
        <v/>
      </c>
      <c r="B207" s="6">
        <f>IF(K207="","",IF(K207=K206,"",K207))</f>
        <v/>
      </c>
      <c r="C207" s="5">
        <f>IF(L207="","",IF(L207=L206,"",L207))</f>
        <v/>
      </c>
      <c r="D207" s="6">
        <f>IF(L207="","", SUBSTITUTE(M207," Floor","") &amp; " " &amp; CHOOSE(MIN((ROW()-1)-IFERROR(INDEX(Floors!$L$2:$L$201, MATCH(ROW()-1-0.0001, Floors!$L$2:$L$201, 1)), 0), 4), "North", "South", "East", "West"))</f>
        <v/>
      </c>
      <c r="E207" s="12" t="n"/>
      <c r="F207" s="12" t="n"/>
      <c r="G207" s="12" t="n"/>
      <c r="H207" s="16" t="n"/>
      <c r="I207" s="16" t="n"/>
      <c r="J207" s="15">
        <f>IF(ROW()-1&gt;SUM(Floors!$E$2:$E$201), "", INDEX(Floors!$F$2:$F$201, IFERROR(MATCH(ROW()-1-0.0001, Floors!$L$2:$L$201, 1), 0)+1))</f>
        <v/>
      </c>
      <c r="K207" s="15">
        <f>IF(ROW()-1&gt;SUM(Floors!$E$2:$E$201), "", INDEX(Floors!$H$2:$H$201, IFERROR(MATCH(ROW()-1-0.0001, Floors!$L$2:$L$201, 1), 0)+1))</f>
        <v/>
      </c>
      <c r="L207" s="14">
        <f>IF(ROW()-1&gt;SUM(Floors!$E$2:$E$201), "", INDEX(Floors!$D$2:$D$201, IFERROR(MATCH(ROW()-1-0.0001, Floors!$L$2:$L$201, 1), 0)+1))</f>
        <v/>
      </c>
      <c r="M207" s="15">
        <f>IF(ROW()-1&gt;SUM(Floors!$E$2:$E$201), "", INDEX(Floors!$K$2:$K$201, IFERROR(MATCH(ROW()-1-0.0001, Floors!$L$2:$L$201, 1), 0)+1))</f>
        <v/>
      </c>
    </row>
    <row r="208">
      <c r="A208" s="6">
        <f>IF(J208="","",IF(J208=J207,"",J208))</f>
        <v/>
      </c>
      <c r="B208" s="6">
        <f>IF(K208="","",IF(K208=K207,"",K208))</f>
        <v/>
      </c>
      <c r="C208" s="5">
        <f>IF(L208="","",IF(L208=L207,"",L208))</f>
        <v/>
      </c>
      <c r="D208" s="6">
        <f>IF(L208="","", SUBSTITUTE(M208," Floor","") &amp; " " &amp; CHOOSE(MIN((ROW()-1)-IFERROR(INDEX(Floors!$L$2:$L$201, MATCH(ROW()-1-0.0001, Floors!$L$2:$L$201, 1)), 0), 4), "North", "South", "East", "West"))</f>
        <v/>
      </c>
      <c r="E208" s="12" t="n"/>
      <c r="F208" s="12" t="n"/>
      <c r="G208" s="12" t="n"/>
      <c r="H208" s="16" t="n"/>
      <c r="I208" s="16" t="n"/>
      <c r="J208" s="15">
        <f>IF(ROW()-1&gt;SUM(Floors!$E$2:$E$201), "", INDEX(Floors!$F$2:$F$201, IFERROR(MATCH(ROW()-1-0.0001, Floors!$L$2:$L$201, 1), 0)+1))</f>
        <v/>
      </c>
      <c r="K208" s="15">
        <f>IF(ROW()-1&gt;SUM(Floors!$E$2:$E$201), "", INDEX(Floors!$H$2:$H$201, IFERROR(MATCH(ROW()-1-0.0001, Floors!$L$2:$L$201, 1), 0)+1))</f>
        <v/>
      </c>
      <c r="L208" s="14">
        <f>IF(ROW()-1&gt;SUM(Floors!$E$2:$E$201), "", INDEX(Floors!$D$2:$D$201, IFERROR(MATCH(ROW()-1-0.0001, Floors!$L$2:$L$201, 1), 0)+1))</f>
        <v/>
      </c>
      <c r="M208" s="15">
        <f>IF(ROW()-1&gt;SUM(Floors!$E$2:$E$201), "", INDEX(Floors!$K$2:$K$201, IFERROR(MATCH(ROW()-1-0.0001, Floors!$L$2:$L$201, 1), 0)+1))</f>
        <v/>
      </c>
    </row>
    <row r="209">
      <c r="A209" s="6">
        <f>IF(J209="","",IF(J209=J208,"",J209))</f>
        <v/>
      </c>
      <c r="B209" s="6">
        <f>IF(K209="","",IF(K209=K208,"",K209))</f>
        <v/>
      </c>
      <c r="C209" s="5">
        <f>IF(L209="","",IF(L209=L208,"",L209))</f>
        <v/>
      </c>
      <c r="D209" s="6">
        <f>IF(L209="","", SUBSTITUTE(M209," Floor","") &amp; " " &amp; CHOOSE(MIN((ROW()-1)-IFERROR(INDEX(Floors!$L$2:$L$201, MATCH(ROW()-1-0.0001, Floors!$L$2:$L$201, 1)), 0), 4), "North", "South", "East", "West"))</f>
        <v/>
      </c>
      <c r="E209" s="12" t="n"/>
      <c r="F209" s="12" t="n"/>
      <c r="G209" s="12" t="n"/>
      <c r="H209" s="16" t="n"/>
      <c r="I209" s="16" t="n"/>
      <c r="J209" s="15">
        <f>IF(ROW()-1&gt;SUM(Floors!$E$2:$E$201), "", INDEX(Floors!$F$2:$F$201, IFERROR(MATCH(ROW()-1-0.0001, Floors!$L$2:$L$201, 1), 0)+1))</f>
        <v/>
      </c>
      <c r="K209" s="15">
        <f>IF(ROW()-1&gt;SUM(Floors!$E$2:$E$201), "", INDEX(Floors!$H$2:$H$201, IFERROR(MATCH(ROW()-1-0.0001, Floors!$L$2:$L$201, 1), 0)+1))</f>
        <v/>
      </c>
      <c r="L209" s="14">
        <f>IF(ROW()-1&gt;SUM(Floors!$E$2:$E$201), "", INDEX(Floors!$D$2:$D$201, IFERROR(MATCH(ROW()-1-0.0001, Floors!$L$2:$L$201, 1), 0)+1))</f>
        <v/>
      </c>
      <c r="M209" s="15">
        <f>IF(ROW()-1&gt;SUM(Floors!$E$2:$E$201), "", INDEX(Floors!$K$2:$K$201, IFERROR(MATCH(ROW()-1-0.0001, Floors!$L$2:$L$201, 1), 0)+1))</f>
        <v/>
      </c>
    </row>
    <row r="210">
      <c r="A210" s="6">
        <f>IF(J210="","",IF(J210=J209,"",J210))</f>
        <v/>
      </c>
      <c r="B210" s="6">
        <f>IF(K210="","",IF(K210=K209,"",K210))</f>
        <v/>
      </c>
      <c r="C210" s="5">
        <f>IF(L210="","",IF(L210=L209,"",L210))</f>
        <v/>
      </c>
      <c r="D210" s="6">
        <f>IF(L210="","", SUBSTITUTE(M210," Floor","") &amp; " " &amp; CHOOSE(MIN((ROW()-1)-IFERROR(INDEX(Floors!$L$2:$L$201, MATCH(ROW()-1-0.0001, Floors!$L$2:$L$201, 1)), 0), 4), "North", "South", "East", "West"))</f>
        <v/>
      </c>
      <c r="E210" s="12" t="n"/>
      <c r="F210" s="12" t="n"/>
      <c r="G210" s="12" t="n"/>
      <c r="H210" s="16" t="n"/>
      <c r="I210" s="16" t="n"/>
      <c r="J210" s="15">
        <f>IF(ROW()-1&gt;SUM(Floors!$E$2:$E$201), "", INDEX(Floors!$F$2:$F$201, IFERROR(MATCH(ROW()-1-0.0001, Floors!$L$2:$L$201, 1), 0)+1))</f>
        <v/>
      </c>
      <c r="K210" s="15">
        <f>IF(ROW()-1&gt;SUM(Floors!$E$2:$E$201), "", INDEX(Floors!$H$2:$H$201, IFERROR(MATCH(ROW()-1-0.0001, Floors!$L$2:$L$201, 1), 0)+1))</f>
        <v/>
      </c>
      <c r="L210" s="14">
        <f>IF(ROW()-1&gt;SUM(Floors!$E$2:$E$201), "", INDEX(Floors!$D$2:$D$201, IFERROR(MATCH(ROW()-1-0.0001, Floors!$L$2:$L$201, 1), 0)+1))</f>
        <v/>
      </c>
      <c r="M210" s="15">
        <f>IF(ROW()-1&gt;SUM(Floors!$E$2:$E$201), "", INDEX(Floors!$K$2:$K$201, IFERROR(MATCH(ROW()-1-0.0001, Floors!$L$2:$L$201, 1), 0)+1))</f>
        <v/>
      </c>
    </row>
    <row r="211">
      <c r="A211" s="6">
        <f>IF(J211="","",IF(J211=J210,"",J211))</f>
        <v/>
      </c>
      <c r="B211" s="6">
        <f>IF(K211="","",IF(K211=K210,"",K211))</f>
        <v/>
      </c>
      <c r="C211" s="5">
        <f>IF(L211="","",IF(L211=L210,"",L211))</f>
        <v/>
      </c>
      <c r="D211" s="6">
        <f>IF(L211="","", SUBSTITUTE(M211," Floor","") &amp; " " &amp; CHOOSE(MIN((ROW()-1)-IFERROR(INDEX(Floors!$L$2:$L$201, MATCH(ROW()-1-0.0001, Floors!$L$2:$L$201, 1)), 0), 4), "North", "South", "East", "West"))</f>
        <v/>
      </c>
      <c r="E211" s="12" t="n"/>
      <c r="F211" s="12" t="n"/>
      <c r="G211" s="12" t="n"/>
      <c r="H211" s="16" t="n"/>
      <c r="I211" s="16" t="n"/>
      <c r="J211" s="15">
        <f>IF(ROW()-1&gt;SUM(Floors!$E$2:$E$201), "", INDEX(Floors!$F$2:$F$201, IFERROR(MATCH(ROW()-1-0.0001, Floors!$L$2:$L$201, 1), 0)+1))</f>
        <v/>
      </c>
      <c r="K211" s="15">
        <f>IF(ROW()-1&gt;SUM(Floors!$E$2:$E$201), "", INDEX(Floors!$H$2:$H$201, IFERROR(MATCH(ROW()-1-0.0001, Floors!$L$2:$L$201, 1), 0)+1))</f>
        <v/>
      </c>
      <c r="L211" s="14">
        <f>IF(ROW()-1&gt;SUM(Floors!$E$2:$E$201), "", INDEX(Floors!$D$2:$D$201, IFERROR(MATCH(ROW()-1-0.0001, Floors!$L$2:$L$201, 1), 0)+1))</f>
        <v/>
      </c>
      <c r="M211" s="15">
        <f>IF(ROW()-1&gt;SUM(Floors!$E$2:$E$201), "", INDEX(Floors!$K$2:$K$201, IFERROR(MATCH(ROW()-1-0.0001, Floors!$L$2:$L$201, 1), 0)+1))</f>
        <v/>
      </c>
    </row>
    <row r="212">
      <c r="A212" s="6">
        <f>IF(J212="","",IF(J212=J211,"",J212))</f>
        <v/>
      </c>
      <c r="B212" s="6">
        <f>IF(K212="","",IF(K212=K211,"",K212))</f>
        <v/>
      </c>
      <c r="C212" s="5">
        <f>IF(L212="","",IF(L212=L211,"",L212))</f>
        <v/>
      </c>
      <c r="D212" s="6">
        <f>IF(L212="","", SUBSTITUTE(M212," Floor","") &amp; " " &amp; CHOOSE(MIN((ROW()-1)-IFERROR(INDEX(Floors!$L$2:$L$201, MATCH(ROW()-1-0.0001, Floors!$L$2:$L$201, 1)), 0), 4), "North", "South", "East", "West"))</f>
        <v/>
      </c>
      <c r="E212" s="12" t="n"/>
      <c r="F212" s="12" t="n"/>
      <c r="G212" s="12" t="n"/>
      <c r="H212" s="16" t="n"/>
      <c r="I212" s="16" t="n"/>
      <c r="J212" s="15">
        <f>IF(ROW()-1&gt;SUM(Floors!$E$2:$E$201), "", INDEX(Floors!$F$2:$F$201, IFERROR(MATCH(ROW()-1-0.0001, Floors!$L$2:$L$201, 1), 0)+1))</f>
        <v/>
      </c>
      <c r="K212" s="15">
        <f>IF(ROW()-1&gt;SUM(Floors!$E$2:$E$201), "", INDEX(Floors!$H$2:$H$201, IFERROR(MATCH(ROW()-1-0.0001, Floors!$L$2:$L$201, 1), 0)+1))</f>
        <v/>
      </c>
      <c r="L212" s="14">
        <f>IF(ROW()-1&gt;SUM(Floors!$E$2:$E$201), "", INDEX(Floors!$D$2:$D$201, IFERROR(MATCH(ROW()-1-0.0001, Floors!$L$2:$L$201, 1), 0)+1))</f>
        <v/>
      </c>
      <c r="M212" s="15">
        <f>IF(ROW()-1&gt;SUM(Floors!$E$2:$E$201), "", INDEX(Floors!$K$2:$K$201, IFERROR(MATCH(ROW()-1-0.0001, Floors!$L$2:$L$201, 1), 0)+1))</f>
        <v/>
      </c>
    </row>
    <row r="213">
      <c r="A213" s="6">
        <f>IF(J213="","",IF(J213=J212,"",J213))</f>
        <v/>
      </c>
      <c r="B213" s="6">
        <f>IF(K213="","",IF(K213=K212,"",K213))</f>
        <v/>
      </c>
      <c r="C213" s="5">
        <f>IF(L213="","",IF(L213=L212,"",L213))</f>
        <v/>
      </c>
      <c r="D213" s="6">
        <f>IF(L213="","", SUBSTITUTE(M213," Floor","") &amp; " " &amp; CHOOSE(MIN((ROW()-1)-IFERROR(INDEX(Floors!$L$2:$L$201, MATCH(ROW()-1-0.0001, Floors!$L$2:$L$201, 1)), 0), 4), "North", "South", "East", "West"))</f>
        <v/>
      </c>
      <c r="E213" s="12" t="n"/>
      <c r="F213" s="12" t="n"/>
      <c r="G213" s="12" t="n"/>
      <c r="H213" s="16" t="n"/>
      <c r="I213" s="16" t="n"/>
      <c r="J213" s="15">
        <f>IF(ROW()-1&gt;SUM(Floors!$E$2:$E$201), "", INDEX(Floors!$F$2:$F$201, IFERROR(MATCH(ROW()-1-0.0001, Floors!$L$2:$L$201, 1), 0)+1))</f>
        <v/>
      </c>
      <c r="K213" s="15">
        <f>IF(ROW()-1&gt;SUM(Floors!$E$2:$E$201), "", INDEX(Floors!$H$2:$H$201, IFERROR(MATCH(ROW()-1-0.0001, Floors!$L$2:$L$201, 1), 0)+1))</f>
        <v/>
      </c>
      <c r="L213" s="14">
        <f>IF(ROW()-1&gt;SUM(Floors!$E$2:$E$201), "", INDEX(Floors!$D$2:$D$201, IFERROR(MATCH(ROW()-1-0.0001, Floors!$L$2:$L$201, 1), 0)+1))</f>
        <v/>
      </c>
      <c r="M213" s="15">
        <f>IF(ROW()-1&gt;SUM(Floors!$E$2:$E$201), "", INDEX(Floors!$K$2:$K$201, IFERROR(MATCH(ROW()-1-0.0001, Floors!$L$2:$L$201, 1), 0)+1))</f>
        <v/>
      </c>
    </row>
    <row r="214">
      <c r="A214" s="6">
        <f>IF(J214="","",IF(J214=J213,"",J214))</f>
        <v/>
      </c>
      <c r="B214" s="6">
        <f>IF(K214="","",IF(K214=K213,"",K214))</f>
        <v/>
      </c>
      <c r="C214" s="5">
        <f>IF(L214="","",IF(L214=L213,"",L214))</f>
        <v/>
      </c>
      <c r="D214" s="6">
        <f>IF(L214="","", SUBSTITUTE(M214," Floor","") &amp; " " &amp; CHOOSE(MIN((ROW()-1)-IFERROR(INDEX(Floors!$L$2:$L$201, MATCH(ROW()-1-0.0001, Floors!$L$2:$L$201, 1)), 0), 4), "North", "South", "East", "West"))</f>
        <v/>
      </c>
      <c r="E214" s="12" t="n"/>
      <c r="F214" s="12" t="n"/>
      <c r="G214" s="12" t="n"/>
      <c r="H214" s="16" t="n"/>
      <c r="I214" s="16" t="n"/>
      <c r="J214" s="15">
        <f>IF(ROW()-1&gt;SUM(Floors!$E$2:$E$201), "", INDEX(Floors!$F$2:$F$201, IFERROR(MATCH(ROW()-1-0.0001, Floors!$L$2:$L$201, 1), 0)+1))</f>
        <v/>
      </c>
      <c r="K214" s="15">
        <f>IF(ROW()-1&gt;SUM(Floors!$E$2:$E$201), "", INDEX(Floors!$H$2:$H$201, IFERROR(MATCH(ROW()-1-0.0001, Floors!$L$2:$L$201, 1), 0)+1))</f>
        <v/>
      </c>
      <c r="L214" s="14">
        <f>IF(ROW()-1&gt;SUM(Floors!$E$2:$E$201), "", INDEX(Floors!$D$2:$D$201, IFERROR(MATCH(ROW()-1-0.0001, Floors!$L$2:$L$201, 1), 0)+1))</f>
        <v/>
      </c>
      <c r="M214" s="15">
        <f>IF(ROW()-1&gt;SUM(Floors!$E$2:$E$201), "", INDEX(Floors!$K$2:$K$201, IFERROR(MATCH(ROW()-1-0.0001, Floors!$L$2:$L$201, 1), 0)+1))</f>
        <v/>
      </c>
    </row>
    <row r="215">
      <c r="A215" s="6">
        <f>IF(J215="","",IF(J215=J214,"",J215))</f>
        <v/>
      </c>
      <c r="B215" s="6">
        <f>IF(K215="","",IF(K215=K214,"",K215))</f>
        <v/>
      </c>
      <c r="C215" s="5">
        <f>IF(L215="","",IF(L215=L214,"",L215))</f>
        <v/>
      </c>
      <c r="D215" s="6">
        <f>IF(L215="","", SUBSTITUTE(M215," Floor","") &amp; " " &amp; CHOOSE(MIN((ROW()-1)-IFERROR(INDEX(Floors!$L$2:$L$201, MATCH(ROW()-1-0.0001, Floors!$L$2:$L$201, 1)), 0), 4), "North", "South", "East", "West"))</f>
        <v/>
      </c>
      <c r="E215" s="12" t="n"/>
      <c r="F215" s="12" t="n"/>
      <c r="G215" s="12" t="n"/>
      <c r="H215" s="16" t="n"/>
      <c r="I215" s="16" t="n"/>
      <c r="J215" s="15">
        <f>IF(ROW()-1&gt;SUM(Floors!$E$2:$E$201), "", INDEX(Floors!$F$2:$F$201, IFERROR(MATCH(ROW()-1-0.0001, Floors!$L$2:$L$201, 1), 0)+1))</f>
        <v/>
      </c>
      <c r="K215" s="15">
        <f>IF(ROW()-1&gt;SUM(Floors!$E$2:$E$201), "", INDEX(Floors!$H$2:$H$201, IFERROR(MATCH(ROW()-1-0.0001, Floors!$L$2:$L$201, 1), 0)+1))</f>
        <v/>
      </c>
      <c r="L215" s="14">
        <f>IF(ROW()-1&gt;SUM(Floors!$E$2:$E$201), "", INDEX(Floors!$D$2:$D$201, IFERROR(MATCH(ROW()-1-0.0001, Floors!$L$2:$L$201, 1), 0)+1))</f>
        <v/>
      </c>
      <c r="M215" s="15">
        <f>IF(ROW()-1&gt;SUM(Floors!$E$2:$E$201), "", INDEX(Floors!$K$2:$K$201, IFERROR(MATCH(ROW()-1-0.0001, Floors!$L$2:$L$201, 1), 0)+1))</f>
        <v/>
      </c>
    </row>
    <row r="216">
      <c r="A216" s="6">
        <f>IF(J216="","",IF(J216=J215,"",J216))</f>
        <v/>
      </c>
      <c r="B216" s="6">
        <f>IF(K216="","",IF(K216=K215,"",K216))</f>
        <v/>
      </c>
      <c r="C216" s="5">
        <f>IF(L216="","",IF(L216=L215,"",L216))</f>
        <v/>
      </c>
      <c r="D216" s="6">
        <f>IF(L216="","", SUBSTITUTE(M216," Floor","") &amp; " " &amp; CHOOSE(MIN((ROW()-1)-IFERROR(INDEX(Floors!$L$2:$L$201, MATCH(ROW()-1-0.0001, Floors!$L$2:$L$201, 1)), 0), 4), "North", "South", "East", "West"))</f>
        <v/>
      </c>
      <c r="E216" s="12" t="n"/>
      <c r="F216" s="12" t="n"/>
      <c r="G216" s="12" t="n"/>
      <c r="H216" s="16" t="n"/>
      <c r="I216" s="16" t="n"/>
      <c r="J216" s="15">
        <f>IF(ROW()-1&gt;SUM(Floors!$E$2:$E$201), "", INDEX(Floors!$F$2:$F$201, IFERROR(MATCH(ROW()-1-0.0001, Floors!$L$2:$L$201, 1), 0)+1))</f>
        <v/>
      </c>
      <c r="K216" s="15">
        <f>IF(ROW()-1&gt;SUM(Floors!$E$2:$E$201), "", INDEX(Floors!$H$2:$H$201, IFERROR(MATCH(ROW()-1-0.0001, Floors!$L$2:$L$201, 1), 0)+1))</f>
        <v/>
      </c>
      <c r="L216" s="14">
        <f>IF(ROW()-1&gt;SUM(Floors!$E$2:$E$201), "", INDEX(Floors!$D$2:$D$201, IFERROR(MATCH(ROW()-1-0.0001, Floors!$L$2:$L$201, 1), 0)+1))</f>
        <v/>
      </c>
      <c r="M216" s="15">
        <f>IF(ROW()-1&gt;SUM(Floors!$E$2:$E$201), "", INDEX(Floors!$K$2:$K$201, IFERROR(MATCH(ROW()-1-0.0001, Floors!$L$2:$L$201, 1), 0)+1))</f>
        <v/>
      </c>
    </row>
    <row r="217">
      <c r="A217" s="6">
        <f>IF(J217="","",IF(J217=J216,"",J217))</f>
        <v/>
      </c>
      <c r="B217" s="6">
        <f>IF(K217="","",IF(K217=K216,"",K217))</f>
        <v/>
      </c>
      <c r="C217" s="5">
        <f>IF(L217="","",IF(L217=L216,"",L217))</f>
        <v/>
      </c>
      <c r="D217" s="6">
        <f>IF(L217="","", SUBSTITUTE(M217," Floor","") &amp; " " &amp; CHOOSE(MIN((ROW()-1)-IFERROR(INDEX(Floors!$L$2:$L$201, MATCH(ROW()-1-0.0001, Floors!$L$2:$L$201, 1)), 0), 4), "North", "South", "East", "West"))</f>
        <v/>
      </c>
      <c r="E217" s="12" t="n"/>
      <c r="F217" s="12" t="n"/>
      <c r="G217" s="12" t="n"/>
      <c r="H217" s="16" t="n"/>
      <c r="I217" s="16" t="n"/>
      <c r="J217" s="15">
        <f>IF(ROW()-1&gt;SUM(Floors!$E$2:$E$201), "", INDEX(Floors!$F$2:$F$201, IFERROR(MATCH(ROW()-1-0.0001, Floors!$L$2:$L$201, 1), 0)+1))</f>
        <v/>
      </c>
      <c r="K217" s="15">
        <f>IF(ROW()-1&gt;SUM(Floors!$E$2:$E$201), "", INDEX(Floors!$H$2:$H$201, IFERROR(MATCH(ROW()-1-0.0001, Floors!$L$2:$L$201, 1), 0)+1))</f>
        <v/>
      </c>
      <c r="L217" s="14">
        <f>IF(ROW()-1&gt;SUM(Floors!$E$2:$E$201), "", INDEX(Floors!$D$2:$D$201, IFERROR(MATCH(ROW()-1-0.0001, Floors!$L$2:$L$201, 1), 0)+1))</f>
        <v/>
      </c>
      <c r="M217" s="15">
        <f>IF(ROW()-1&gt;SUM(Floors!$E$2:$E$201), "", INDEX(Floors!$K$2:$K$201, IFERROR(MATCH(ROW()-1-0.0001, Floors!$L$2:$L$201, 1), 0)+1))</f>
        <v/>
      </c>
    </row>
    <row r="218">
      <c r="A218" s="6">
        <f>IF(J218="","",IF(J218=J217,"",J218))</f>
        <v/>
      </c>
      <c r="B218" s="6">
        <f>IF(K218="","",IF(K218=K217,"",K218))</f>
        <v/>
      </c>
      <c r="C218" s="5">
        <f>IF(L218="","",IF(L218=L217,"",L218))</f>
        <v/>
      </c>
      <c r="D218" s="6">
        <f>IF(L218="","", SUBSTITUTE(M218," Floor","") &amp; " " &amp; CHOOSE(MIN((ROW()-1)-IFERROR(INDEX(Floors!$L$2:$L$201, MATCH(ROW()-1-0.0001, Floors!$L$2:$L$201, 1)), 0), 4), "North", "South", "East", "West"))</f>
        <v/>
      </c>
      <c r="E218" s="12" t="n"/>
      <c r="F218" s="12" t="n"/>
      <c r="G218" s="12" t="n"/>
      <c r="H218" s="16" t="n"/>
      <c r="I218" s="16" t="n"/>
      <c r="J218" s="15">
        <f>IF(ROW()-1&gt;SUM(Floors!$E$2:$E$201), "", INDEX(Floors!$F$2:$F$201, IFERROR(MATCH(ROW()-1-0.0001, Floors!$L$2:$L$201, 1), 0)+1))</f>
        <v/>
      </c>
      <c r="K218" s="15">
        <f>IF(ROW()-1&gt;SUM(Floors!$E$2:$E$201), "", INDEX(Floors!$H$2:$H$201, IFERROR(MATCH(ROW()-1-0.0001, Floors!$L$2:$L$201, 1), 0)+1))</f>
        <v/>
      </c>
      <c r="L218" s="14">
        <f>IF(ROW()-1&gt;SUM(Floors!$E$2:$E$201), "", INDEX(Floors!$D$2:$D$201, IFERROR(MATCH(ROW()-1-0.0001, Floors!$L$2:$L$201, 1), 0)+1))</f>
        <v/>
      </c>
      <c r="M218" s="15">
        <f>IF(ROW()-1&gt;SUM(Floors!$E$2:$E$201), "", INDEX(Floors!$K$2:$K$201, IFERROR(MATCH(ROW()-1-0.0001, Floors!$L$2:$L$201, 1), 0)+1))</f>
        <v/>
      </c>
    </row>
    <row r="219">
      <c r="A219" s="6">
        <f>IF(J219="","",IF(J219=J218,"",J219))</f>
        <v/>
      </c>
      <c r="B219" s="6">
        <f>IF(K219="","",IF(K219=K218,"",K219))</f>
        <v/>
      </c>
      <c r="C219" s="5">
        <f>IF(L219="","",IF(L219=L218,"",L219))</f>
        <v/>
      </c>
      <c r="D219" s="6">
        <f>IF(L219="","", SUBSTITUTE(M219," Floor","") &amp; " " &amp; CHOOSE(MIN((ROW()-1)-IFERROR(INDEX(Floors!$L$2:$L$201, MATCH(ROW()-1-0.0001, Floors!$L$2:$L$201, 1)), 0), 4), "North", "South", "East", "West"))</f>
        <v/>
      </c>
      <c r="E219" s="12" t="n"/>
      <c r="F219" s="12" t="n"/>
      <c r="G219" s="12" t="n"/>
      <c r="H219" s="16" t="n"/>
      <c r="I219" s="16" t="n"/>
      <c r="J219" s="15">
        <f>IF(ROW()-1&gt;SUM(Floors!$E$2:$E$201), "", INDEX(Floors!$F$2:$F$201, IFERROR(MATCH(ROW()-1-0.0001, Floors!$L$2:$L$201, 1), 0)+1))</f>
        <v/>
      </c>
      <c r="K219" s="15">
        <f>IF(ROW()-1&gt;SUM(Floors!$E$2:$E$201), "", INDEX(Floors!$H$2:$H$201, IFERROR(MATCH(ROW()-1-0.0001, Floors!$L$2:$L$201, 1), 0)+1))</f>
        <v/>
      </c>
      <c r="L219" s="14">
        <f>IF(ROW()-1&gt;SUM(Floors!$E$2:$E$201), "", INDEX(Floors!$D$2:$D$201, IFERROR(MATCH(ROW()-1-0.0001, Floors!$L$2:$L$201, 1), 0)+1))</f>
        <v/>
      </c>
      <c r="M219" s="15">
        <f>IF(ROW()-1&gt;SUM(Floors!$E$2:$E$201), "", INDEX(Floors!$K$2:$K$201, IFERROR(MATCH(ROW()-1-0.0001, Floors!$L$2:$L$201, 1), 0)+1))</f>
        <v/>
      </c>
    </row>
    <row r="220">
      <c r="A220" s="6">
        <f>IF(J220="","",IF(J220=J219,"",J220))</f>
        <v/>
      </c>
      <c r="B220" s="6">
        <f>IF(K220="","",IF(K220=K219,"",K220))</f>
        <v/>
      </c>
      <c r="C220" s="5">
        <f>IF(L220="","",IF(L220=L219,"",L220))</f>
        <v/>
      </c>
      <c r="D220" s="6">
        <f>IF(L220="","", SUBSTITUTE(M220," Floor","") &amp; " " &amp; CHOOSE(MIN((ROW()-1)-IFERROR(INDEX(Floors!$L$2:$L$201, MATCH(ROW()-1-0.0001, Floors!$L$2:$L$201, 1)), 0), 4), "North", "South", "East", "West"))</f>
        <v/>
      </c>
      <c r="E220" s="12" t="n"/>
      <c r="F220" s="12" t="n"/>
      <c r="G220" s="12" t="n"/>
      <c r="H220" s="16" t="n"/>
      <c r="I220" s="16" t="n"/>
      <c r="J220" s="15">
        <f>IF(ROW()-1&gt;SUM(Floors!$E$2:$E$201), "", INDEX(Floors!$F$2:$F$201, IFERROR(MATCH(ROW()-1-0.0001, Floors!$L$2:$L$201, 1), 0)+1))</f>
        <v/>
      </c>
      <c r="K220" s="15">
        <f>IF(ROW()-1&gt;SUM(Floors!$E$2:$E$201), "", INDEX(Floors!$H$2:$H$201, IFERROR(MATCH(ROW()-1-0.0001, Floors!$L$2:$L$201, 1), 0)+1))</f>
        <v/>
      </c>
      <c r="L220" s="14">
        <f>IF(ROW()-1&gt;SUM(Floors!$E$2:$E$201), "", INDEX(Floors!$D$2:$D$201, IFERROR(MATCH(ROW()-1-0.0001, Floors!$L$2:$L$201, 1), 0)+1))</f>
        <v/>
      </c>
      <c r="M220" s="15">
        <f>IF(ROW()-1&gt;SUM(Floors!$E$2:$E$201), "", INDEX(Floors!$K$2:$K$201, IFERROR(MATCH(ROW()-1-0.0001, Floors!$L$2:$L$201, 1), 0)+1))</f>
        <v/>
      </c>
    </row>
    <row r="221">
      <c r="A221" s="6">
        <f>IF(J221="","",IF(J221=J220,"",J221))</f>
        <v/>
      </c>
      <c r="B221" s="6">
        <f>IF(K221="","",IF(K221=K220,"",K221))</f>
        <v/>
      </c>
      <c r="C221" s="5">
        <f>IF(L221="","",IF(L221=L220,"",L221))</f>
        <v/>
      </c>
      <c r="D221" s="6">
        <f>IF(L221="","", SUBSTITUTE(M221," Floor","") &amp; " " &amp; CHOOSE(MIN((ROW()-1)-IFERROR(INDEX(Floors!$L$2:$L$201, MATCH(ROW()-1-0.0001, Floors!$L$2:$L$201, 1)), 0), 4), "North", "South", "East", "West"))</f>
        <v/>
      </c>
      <c r="E221" s="12" t="n"/>
      <c r="F221" s="12" t="n"/>
      <c r="G221" s="12" t="n"/>
      <c r="H221" s="16" t="n"/>
      <c r="I221" s="16" t="n"/>
      <c r="J221" s="15">
        <f>IF(ROW()-1&gt;SUM(Floors!$E$2:$E$201), "", INDEX(Floors!$F$2:$F$201, IFERROR(MATCH(ROW()-1-0.0001, Floors!$L$2:$L$201, 1), 0)+1))</f>
        <v/>
      </c>
      <c r="K221" s="15">
        <f>IF(ROW()-1&gt;SUM(Floors!$E$2:$E$201), "", INDEX(Floors!$H$2:$H$201, IFERROR(MATCH(ROW()-1-0.0001, Floors!$L$2:$L$201, 1), 0)+1))</f>
        <v/>
      </c>
      <c r="L221" s="14">
        <f>IF(ROW()-1&gt;SUM(Floors!$E$2:$E$201), "", INDEX(Floors!$D$2:$D$201, IFERROR(MATCH(ROW()-1-0.0001, Floors!$L$2:$L$201, 1), 0)+1))</f>
        <v/>
      </c>
      <c r="M221" s="15">
        <f>IF(ROW()-1&gt;SUM(Floors!$E$2:$E$201), "", INDEX(Floors!$K$2:$K$201, IFERROR(MATCH(ROW()-1-0.0001, Floors!$L$2:$L$201, 1), 0)+1))</f>
        <v/>
      </c>
    </row>
    <row r="222">
      <c r="A222" s="6">
        <f>IF(J222="","",IF(J222=J221,"",J222))</f>
        <v/>
      </c>
      <c r="B222" s="6">
        <f>IF(K222="","",IF(K222=K221,"",K222))</f>
        <v/>
      </c>
      <c r="C222" s="5">
        <f>IF(L222="","",IF(L222=L221,"",L222))</f>
        <v/>
      </c>
      <c r="D222" s="6">
        <f>IF(L222="","", SUBSTITUTE(M222," Floor","") &amp; " " &amp; CHOOSE(MIN((ROW()-1)-IFERROR(INDEX(Floors!$L$2:$L$201, MATCH(ROW()-1-0.0001, Floors!$L$2:$L$201, 1)), 0), 4), "North", "South", "East", "West"))</f>
        <v/>
      </c>
      <c r="E222" s="12" t="n"/>
      <c r="F222" s="12" t="n"/>
      <c r="G222" s="12" t="n"/>
      <c r="H222" s="16" t="n"/>
      <c r="I222" s="16" t="n"/>
      <c r="J222" s="15">
        <f>IF(ROW()-1&gt;SUM(Floors!$E$2:$E$201), "", INDEX(Floors!$F$2:$F$201, IFERROR(MATCH(ROW()-1-0.0001, Floors!$L$2:$L$201, 1), 0)+1))</f>
        <v/>
      </c>
      <c r="K222" s="15">
        <f>IF(ROW()-1&gt;SUM(Floors!$E$2:$E$201), "", INDEX(Floors!$H$2:$H$201, IFERROR(MATCH(ROW()-1-0.0001, Floors!$L$2:$L$201, 1), 0)+1))</f>
        <v/>
      </c>
      <c r="L222" s="14">
        <f>IF(ROW()-1&gt;SUM(Floors!$E$2:$E$201), "", INDEX(Floors!$D$2:$D$201, IFERROR(MATCH(ROW()-1-0.0001, Floors!$L$2:$L$201, 1), 0)+1))</f>
        <v/>
      </c>
      <c r="M222" s="15">
        <f>IF(ROW()-1&gt;SUM(Floors!$E$2:$E$201), "", INDEX(Floors!$K$2:$K$201, IFERROR(MATCH(ROW()-1-0.0001, Floors!$L$2:$L$201, 1), 0)+1))</f>
        <v/>
      </c>
    </row>
    <row r="223">
      <c r="A223" s="6">
        <f>IF(J223="","",IF(J223=J222,"",J223))</f>
        <v/>
      </c>
      <c r="B223" s="6">
        <f>IF(K223="","",IF(K223=K222,"",K223))</f>
        <v/>
      </c>
      <c r="C223" s="5">
        <f>IF(L223="","",IF(L223=L222,"",L223))</f>
        <v/>
      </c>
      <c r="D223" s="6">
        <f>IF(L223="","", SUBSTITUTE(M223," Floor","") &amp; " " &amp; CHOOSE(MIN((ROW()-1)-IFERROR(INDEX(Floors!$L$2:$L$201, MATCH(ROW()-1-0.0001, Floors!$L$2:$L$201, 1)), 0), 4), "North", "South", "East", "West"))</f>
        <v/>
      </c>
      <c r="E223" s="12" t="n"/>
      <c r="F223" s="12" t="n"/>
      <c r="G223" s="12" t="n"/>
      <c r="H223" s="16" t="n"/>
      <c r="I223" s="16" t="n"/>
      <c r="J223" s="15">
        <f>IF(ROW()-1&gt;SUM(Floors!$E$2:$E$201), "", INDEX(Floors!$F$2:$F$201, IFERROR(MATCH(ROW()-1-0.0001, Floors!$L$2:$L$201, 1), 0)+1))</f>
        <v/>
      </c>
      <c r="K223" s="15">
        <f>IF(ROW()-1&gt;SUM(Floors!$E$2:$E$201), "", INDEX(Floors!$H$2:$H$201, IFERROR(MATCH(ROW()-1-0.0001, Floors!$L$2:$L$201, 1), 0)+1))</f>
        <v/>
      </c>
      <c r="L223" s="14">
        <f>IF(ROW()-1&gt;SUM(Floors!$E$2:$E$201), "", INDEX(Floors!$D$2:$D$201, IFERROR(MATCH(ROW()-1-0.0001, Floors!$L$2:$L$201, 1), 0)+1))</f>
        <v/>
      </c>
      <c r="M223" s="15">
        <f>IF(ROW()-1&gt;SUM(Floors!$E$2:$E$201), "", INDEX(Floors!$K$2:$K$201, IFERROR(MATCH(ROW()-1-0.0001, Floors!$L$2:$L$201, 1), 0)+1))</f>
        <v/>
      </c>
    </row>
    <row r="224">
      <c r="A224" s="6">
        <f>IF(J224="","",IF(J224=J223,"",J224))</f>
        <v/>
      </c>
      <c r="B224" s="6">
        <f>IF(K224="","",IF(K224=K223,"",K224))</f>
        <v/>
      </c>
      <c r="C224" s="5">
        <f>IF(L224="","",IF(L224=L223,"",L224))</f>
        <v/>
      </c>
      <c r="D224" s="6">
        <f>IF(L224="","", SUBSTITUTE(M224," Floor","") &amp; " " &amp; CHOOSE(MIN((ROW()-1)-IFERROR(INDEX(Floors!$L$2:$L$201, MATCH(ROW()-1-0.0001, Floors!$L$2:$L$201, 1)), 0), 4), "North", "South", "East", "West"))</f>
        <v/>
      </c>
      <c r="E224" s="12" t="n"/>
      <c r="F224" s="12" t="n"/>
      <c r="G224" s="12" t="n"/>
      <c r="H224" s="16" t="n"/>
      <c r="I224" s="16" t="n"/>
      <c r="J224" s="15">
        <f>IF(ROW()-1&gt;SUM(Floors!$E$2:$E$201), "", INDEX(Floors!$F$2:$F$201, IFERROR(MATCH(ROW()-1-0.0001, Floors!$L$2:$L$201, 1), 0)+1))</f>
        <v/>
      </c>
      <c r="K224" s="15">
        <f>IF(ROW()-1&gt;SUM(Floors!$E$2:$E$201), "", INDEX(Floors!$H$2:$H$201, IFERROR(MATCH(ROW()-1-0.0001, Floors!$L$2:$L$201, 1), 0)+1))</f>
        <v/>
      </c>
      <c r="L224" s="14">
        <f>IF(ROW()-1&gt;SUM(Floors!$E$2:$E$201), "", INDEX(Floors!$D$2:$D$201, IFERROR(MATCH(ROW()-1-0.0001, Floors!$L$2:$L$201, 1), 0)+1))</f>
        <v/>
      </c>
      <c r="M224" s="15">
        <f>IF(ROW()-1&gt;SUM(Floors!$E$2:$E$201), "", INDEX(Floors!$K$2:$K$201, IFERROR(MATCH(ROW()-1-0.0001, Floors!$L$2:$L$201, 1), 0)+1))</f>
        <v/>
      </c>
    </row>
    <row r="225">
      <c r="A225" s="6">
        <f>IF(J225="","",IF(J225=J224,"",J225))</f>
        <v/>
      </c>
      <c r="B225" s="6">
        <f>IF(K225="","",IF(K225=K224,"",K225))</f>
        <v/>
      </c>
      <c r="C225" s="5">
        <f>IF(L225="","",IF(L225=L224,"",L225))</f>
        <v/>
      </c>
      <c r="D225" s="6">
        <f>IF(L225="","", SUBSTITUTE(M225," Floor","") &amp; " " &amp; CHOOSE(MIN((ROW()-1)-IFERROR(INDEX(Floors!$L$2:$L$201, MATCH(ROW()-1-0.0001, Floors!$L$2:$L$201, 1)), 0), 4), "North", "South", "East", "West"))</f>
        <v/>
      </c>
      <c r="E225" s="12" t="n"/>
      <c r="F225" s="12" t="n"/>
      <c r="G225" s="12" t="n"/>
      <c r="H225" s="16" t="n"/>
      <c r="I225" s="16" t="n"/>
      <c r="J225" s="15">
        <f>IF(ROW()-1&gt;SUM(Floors!$E$2:$E$201), "", INDEX(Floors!$F$2:$F$201, IFERROR(MATCH(ROW()-1-0.0001, Floors!$L$2:$L$201, 1), 0)+1))</f>
        <v/>
      </c>
      <c r="K225" s="15">
        <f>IF(ROW()-1&gt;SUM(Floors!$E$2:$E$201), "", INDEX(Floors!$H$2:$H$201, IFERROR(MATCH(ROW()-1-0.0001, Floors!$L$2:$L$201, 1), 0)+1))</f>
        <v/>
      </c>
      <c r="L225" s="14">
        <f>IF(ROW()-1&gt;SUM(Floors!$E$2:$E$201), "", INDEX(Floors!$D$2:$D$201, IFERROR(MATCH(ROW()-1-0.0001, Floors!$L$2:$L$201, 1), 0)+1))</f>
        <v/>
      </c>
      <c r="M225" s="15">
        <f>IF(ROW()-1&gt;SUM(Floors!$E$2:$E$201), "", INDEX(Floors!$K$2:$K$201, IFERROR(MATCH(ROW()-1-0.0001, Floors!$L$2:$L$201, 1), 0)+1))</f>
        <v/>
      </c>
    </row>
    <row r="226">
      <c r="A226" s="6">
        <f>IF(J226="","",IF(J226=J225,"",J226))</f>
        <v/>
      </c>
      <c r="B226" s="6">
        <f>IF(K226="","",IF(K226=K225,"",K226))</f>
        <v/>
      </c>
      <c r="C226" s="5">
        <f>IF(L226="","",IF(L226=L225,"",L226))</f>
        <v/>
      </c>
      <c r="D226" s="6">
        <f>IF(L226="","", SUBSTITUTE(M226," Floor","") &amp; " " &amp; CHOOSE(MIN((ROW()-1)-IFERROR(INDEX(Floors!$L$2:$L$201, MATCH(ROW()-1-0.0001, Floors!$L$2:$L$201, 1)), 0), 4), "North", "South", "East", "West"))</f>
        <v/>
      </c>
      <c r="E226" s="12" t="n"/>
      <c r="F226" s="12" t="n"/>
      <c r="G226" s="12" t="n"/>
      <c r="H226" s="16" t="n"/>
      <c r="I226" s="16" t="n"/>
      <c r="J226" s="15">
        <f>IF(ROW()-1&gt;SUM(Floors!$E$2:$E$201), "", INDEX(Floors!$F$2:$F$201, IFERROR(MATCH(ROW()-1-0.0001, Floors!$L$2:$L$201, 1), 0)+1))</f>
        <v/>
      </c>
      <c r="K226" s="15">
        <f>IF(ROW()-1&gt;SUM(Floors!$E$2:$E$201), "", INDEX(Floors!$H$2:$H$201, IFERROR(MATCH(ROW()-1-0.0001, Floors!$L$2:$L$201, 1), 0)+1))</f>
        <v/>
      </c>
      <c r="L226" s="14">
        <f>IF(ROW()-1&gt;SUM(Floors!$E$2:$E$201), "", INDEX(Floors!$D$2:$D$201, IFERROR(MATCH(ROW()-1-0.0001, Floors!$L$2:$L$201, 1), 0)+1))</f>
        <v/>
      </c>
      <c r="M226" s="15">
        <f>IF(ROW()-1&gt;SUM(Floors!$E$2:$E$201), "", INDEX(Floors!$K$2:$K$201, IFERROR(MATCH(ROW()-1-0.0001, Floors!$L$2:$L$201, 1), 0)+1))</f>
        <v/>
      </c>
    </row>
    <row r="227">
      <c r="A227" s="6">
        <f>IF(J227="","",IF(J227=J226,"",J227))</f>
        <v/>
      </c>
      <c r="B227" s="6">
        <f>IF(K227="","",IF(K227=K226,"",K227))</f>
        <v/>
      </c>
      <c r="C227" s="5">
        <f>IF(L227="","",IF(L227=L226,"",L227))</f>
        <v/>
      </c>
      <c r="D227" s="6">
        <f>IF(L227="","", SUBSTITUTE(M227," Floor","") &amp; " " &amp; CHOOSE(MIN((ROW()-1)-IFERROR(INDEX(Floors!$L$2:$L$201, MATCH(ROW()-1-0.0001, Floors!$L$2:$L$201, 1)), 0), 4), "North", "South", "East", "West"))</f>
        <v/>
      </c>
      <c r="E227" s="12" t="n"/>
      <c r="F227" s="12" t="n"/>
      <c r="G227" s="12" t="n"/>
      <c r="H227" s="16" t="n"/>
      <c r="I227" s="16" t="n"/>
      <c r="J227" s="15">
        <f>IF(ROW()-1&gt;SUM(Floors!$E$2:$E$201), "", INDEX(Floors!$F$2:$F$201, IFERROR(MATCH(ROW()-1-0.0001, Floors!$L$2:$L$201, 1), 0)+1))</f>
        <v/>
      </c>
      <c r="K227" s="15">
        <f>IF(ROW()-1&gt;SUM(Floors!$E$2:$E$201), "", INDEX(Floors!$H$2:$H$201, IFERROR(MATCH(ROW()-1-0.0001, Floors!$L$2:$L$201, 1), 0)+1))</f>
        <v/>
      </c>
      <c r="L227" s="14">
        <f>IF(ROW()-1&gt;SUM(Floors!$E$2:$E$201), "", INDEX(Floors!$D$2:$D$201, IFERROR(MATCH(ROW()-1-0.0001, Floors!$L$2:$L$201, 1), 0)+1))</f>
        <v/>
      </c>
      <c r="M227" s="15">
        <f>IF(ROW()-1&gt;SUM(Floors!$E$2:$E$201), "", INDEX(Floors!$K$2:$K$201, IFERROR(MATCH(ROW()-1-0.0001, Floors!$L$2:$L$201, 1), 0)+1))</f>
        <v/>
      </c>
    </row>
    <row r="228">
      <c r="A228" s="6">
        <f>IF(J228="","",IF(J228=J227,"",J228))</f>
        <v/>
      </c>
      <c r="B228" s="6">
        <f>IF(K228="","",IF(K228=K227,"",K228))</f>
        <v/>
      </c>
      <c r="C228" s="5">
        <f>IF(L228="","",IF(L228=L227,"",L228))</f>
        <v/>
      </c>
      <c r="D228" s="6">
        <f>IF(L228="","", SUBSTITUTE(M228," Floor","") &amp; " " &amp; CHOOSE(MIN((ROW()-1)-IFERROR(INDEX(Floors!$L$2:$L$201, MATCH(ROW()-1-0.0001, Floors!$L$2:$L$201, 1)), 0), 4), "North", "South", "East", "West"))</f>
        <v/>
      </c>
      <c r="E228" s="12" t="n"/>
      <c r="F228" s="12" t="n"/>
      <c r="G228" s="12" t="n"/>
      <c r="H228" s="16" t="n"/>
      <c r="I228" s="16" t="n"/>
      <c r="J228" s="15">
        <f>IF(ROW()-1&gt;SUM(Floors!$E$2:$E$201), "", INDEX(Floors!$F$2:$F$201, IFERROR(MATCH(ROW()-1-0.0001, Floors!$L$2:$L$201, 1), 0)+1))</f>
        <v/>
      </c>
      <c r="K228" s="15">
        <f>IF(ROW()-1&gt;SUM(Floors!$E$2:$E$201), "", INDEX(Floors!$H$2:$H$201, IFERROR(MATCH(ROW()-1-0.0001, Floors!$L$2:$L$201, 1), 0)+1))</f>
        <v/>
      </c>
      <c r="L228" s="14">
        <f>IF(ROW()-1&gt;SUM(Floors!$E$2:$E$201), "", INDEX(Floors!$D$2:$D$201, IFERROR(MATCH(ROW()-1-0.0001, Floors!$L$2:$L$201, 1), 0)+1))</f>
        <v/>
      </c>
      <c r="M228" s="15">
        <f>IF(ROW()-1&gt;SUM(Floors!$E$2:$E$201), "", INDEX(Floors!$K$2:$K$201, IFERROR(MATCH(ROW()-1-0.0001, Floors!$L$2:$L$201, 1), 0)+1))</f>
        <v/>
      </c>
    </row>
    <row r="229">
      <c r="A229" s="6">
        <f>IF(J229="","",IF(J229=J228,"",J229))</f>
        <v/>
      </c>
      <c r="B229" s="6">
        <f>IF(K229="","",IF(K229=K228,"",K229))</f>
        <v/>
      </c>
      <c r="C229" s="5">
        <f>IF(L229="","",IF(L229=L228,"",L229))</f>
        <v/>
      </c>
      <c r="D229" s="6">
        <f>IF(L229="","", SUBSTITUTE(M229," Floor","") &amp; " " &amp; CHOOSE(MIN((ROW()-1)-IFERROR(INDEX(Floors!$L$2:$L$201, MATCH(ROW()-1-0.0001, Floors!$L$2:$L$201, 1)), 0), 4), "North", "South", "East", "West"))</f>
        <v/>
      </c>
      <c r="E229" s="12" t="n"/>
      <c r="F229" s="12" t="n"/>
      <c r="G229" s="12" t="n"/>
      <c r="H229" s="16" t="n"/>
      <c r="I229" s="16" t="n"/>
      <c r="J229" s="15">
        <f>IF(ROW()-1&gt;SUM(Floors!$E$2:$E$201), "", INDEX(Floors!$F$2:$F$201, IFERROR(MATCH(ROW()-1-0.0001, Floors!$L$2:$L$201, 1), 0)+1))</f>
        <v/>
      </c>
      <c r="K229" s="15">
        <f>IF(ROW()-1&gt;SUM(Floors!$E$2:$E$201), "", INDEX(Floors!$H$2:$H$201, IFERROR(MATCH(ROW()-1-0.0001, Floors!$L$2:$L$201, 1), 0)+1))</f>
        <v/>
      </c>
      <c r="L229" s="14">
        <f>IF(ROW()-1&gt;SUM(Floors!$E$2:$E$201), "", INDEX(Floors!$D$2:$D$201, IFERROR(MATCH(ROW()-1-0.0001, Floors!$L$2:$L$201, 1), 0)+1))</f>
        <v/>
      </c>
      <c r="M229" s="15">
        <f>IF(ROW()-1&gt;SUM(Floors!$E$2:$E$201), "", INDEX(Floors!$K$2:$K$201, IFERROR(MATCH(ROW()-1-0.0001, Floors!$L$2:$L$201, 1), 0)+1))</f>
        <v/>
      </c>
    </row>
    <row r="230">
      <c r="A230" s="6">
        <f>IF(J230="","",IF(J230=J229,"",J230))</f>
        <v/>
      </c>
      <c r="B230" s="6">
        <f>IF(K230="","",IF(K230=K229,"",K230))</f>
        <v/>
      </c>
      <c r="C230" s="5">
        <f>IF(L230="","",IF(L230=L229,"",L230))</f>
        <v/>
      </c>
      <c r="D230" s="6">
        <f>IF(L230="","", SUBSTITUTE(M230," Floor","") &amp; " " &amp; CHOOSE(MIN((ROW()-1)-IFERROR(INDEX(Floors!$L$2:$L$201, MATCH(ROW()-1-0.0001, Floors!$L$2:$L$201, 1)), 0), 4), "North", "South", "East", "West"))</f>
        <v/>
      </c>
      <c r="E230" s="12" t="n"/>
      <c r="F230" s="12" t="n"/>
      <c r="G230" s="12" t="n"/>
      <c r="H230" s="16" t="n"/>
      <c r="I230" s="16" t="n"/>
      <c r="J230" s="15">
        <f>IF(ROW()-1&gt;SUM(Floors!$E$2:$E$201), "", INDEX(Floors!$F$2:$F$201, IFERROR(MATCH(ROW()-1-0.0001, Floors!$L$2:$L$201, 1), 0)+1))</f>
        <v/>
      </c>
      <c r="K230" s="15">
        <f>IF(ROW()-1&gt;SUM(Floors!$E$2:$E$201), "", INDEX(Floors!$H$2:$H$201, IFERROR(MATCH(ROW()-1-0.0001, Floors!$L$2:$L$201, 1), 0)+1))</f>
        <v/>
      </c>
      <c r="L230" s="14">
        <f>IF(ROW()-1&gt;SUM(Floors!$E$2:$E$201), "", INDEX(Floors!$D$2:$D$201, IFERROR(MATCH(ROW()-1-0.0001, Floors!$L$2:$L$201, 1), 0)+1))</f>
        <v/>
      </c>
      <c r="M230" s="15">
        <f>IF(ROW()-1&gt;SUM(Floors!$E$2:$E$201), "", INDEX(Floors!$K$2:$K$201, IFERROR(MATCH(ROW()-1-0.0001, Floors!$L$2:$L$201, 1), 0)+1))</f>
        <v/>
      </c>
    </row>
    <row r="231">
      <c r="A231" s="6">
        <f>IF(J231="","",IF(J231=J230,"",J231))</f>
        <v/>
      </c>
      <c r="B231" s="6">
        <f>IF(K231="","",IF(K231=K230,"",K231))</f>
        <v/>
      </c>
      <c r="C231" s="5">
        <f>IF(L231="","",IF(L231=L230,"",L231))</f>
        <v/>
      </c>
      <c r="D231" s="6">
        <f>IF(L231="","", SUBSTITUTE(M231," Floor","") &amp; " " &amp; CHOOSE(MIN((ROW()-1)-IFERROR(INDEX(Floors!$L$2:$L$201, MATCH(ROW()-1-0.0001, Floors!$L$2:$L$201, 1)), 0), 4), "North", "South", "East", "West"))</f>
        <v/>
      </c>
      <c r="E231" s="12" t="n"/>
      <c r="F231" s="12" t="n"/>
      <c r="G231" s="12" t="n"/>
      <c r="H231" s="16" t="n"/>
      <c r="I231" s="16" t="n"/>
      <c r="J231" s="15">
        <f>IF(ROW()-1&gt;SUM(Floors!$E$2:$E$201), "", INDEX(Floors!$F$2:$F$201, IFERROR(MATCH(ROW()-1-0.0001, Floors!$L$2:$L$201, 1), 0)+1))</f>
        <v/>
      </c>
      <c r="K231" s="15">
        <f>IF(ROW()-1&gt;SUM(Floors!$E$2:$E$201), "", INDEX(Floors!$H$2:$H$201, IFERROR(MATCH(ROW()-1-0.0001, Floors!$L$2:$L$201, 1), 0)+1))</f>
        <v/>
      </c>
      <c r="L231" s="14">
        <f>IF(ROW()-1&gt;SUM(Floors!$E$2:$E$201), "", INDEX(Floors!$D$2:$D$201, IFERROR(MATCH(ROW()-1-0.0001, Floors!$L$2:$L$201, 1), 0)+1))</f>
        <v/>
      </c>
      <c r="M231" s="15">
        <f>IF(ROW()-1&gt;SUM(Floors!$E$2:$E$201), "", INDEX(Floors!$K$2:$K$201, IFERROR(MATCH(ROW()-1-0.0001, Floors!$L$2:$L$201, 1), 0)+1))</f>
        <v/>
      </c>
    </row>
    <row r="232">
      <c r="A232" s="6">
        <f>IF(J232="","",IF(J232=J231,"",J232))</f>
        <v/>
      </c>
      <c r="B232" s="6">
        <f>IF(K232="","",IF(K232=K231,"",K232))</f>
        <v/>
      </c>
      <c r="C232" s="5">
        <f>IF(L232="","",IF(L232=L231,"",L232))</f>
        <v/>
      </c>
      <c r="D232" s="6">
        <f>IF(L232="","", SUBSTITUTE(M232," Floor","") &amp; " " &amp; CHOOSE(MIN((ROW()-1)-IFERROR(INDEX(Floors!$L$2:$L$201, MATCH(ROW()-1-0.0001, Floors!$L$2:$L$201, 1)), 0), 4), "North", "South", "East", "West"))</f>
        <v/>
      </c>
      <c r="E232" s="12" t="n"/>
      <c r="F232" s="12" t="n"/>
      <c r="G232" s="12" t="n"/>
      <c r="H232" s="16" t="n"/>
      <c r="I232" s="16" t="n"/>
      <c r="J232" s="15">
        <f>IF(ROW()-1&gt;SUM(Floors!$E$2:$E$201), "", INDEX(Floors!$F$2:$F$201, IFERROR(MATCH(ROW()-1-0.0001, Floors!$L$2:$L$201, 1), 0)+1))</f>
        <v/>
      </c>
      <c r="K232" s="15">
        <f>IF(ROW()-1&gt;SUM(Floors!$E$2:$E$201), "", INDEX(Floors!$H$2:$H$201, IFERROR(MATCH(ROW()-1-0.0001, Floors!$L$2:$L$201, 1), 0)+1))</f>
        <v/>
      </c>
      <c r="L232" s="14">
        <f>IF(ROW()-1&gt;SUM(Floors!$E$2:$E$201), "", INDEX(Floors!$D$2:$D$201, IFERROR(MATCH(ROW()-1-0.0001, Floors!$L$2:$L$201, 1), 0)+1))</f>
        <v/>
      </c>
      <c r="M232" s="15">
        <f>IF(ROW()-1&gt;SUM(Floors!$E$2:$E$201), "", INDEX(Floors!$K$2:$K$201, IFERROR(MATCH(ROW()-1-0.0001, Floors!$L$2:$L$201, 1), 0)+1))</f>
        <v/>
      </c>
    </row>
    <row r="233">
      <c r="A233" s="6">
        <f>IF(J233="","",IF(J233=J232,"",J233))</f>
        <v/>
      </c>
      <c r="B233" s="6">
        <f>IF(K233="","",IF(K233=K232,"",K233))</f>
        <v/>
      </c>
      <c r="C233" s="5">
        <f>IF(L233="","",IF(L233=L232,"",L233))</f>
        <v/>
      </c>
      <c r="D233" s="6">
        <f>IF(L233="","", SUBSTITUTE(M233," Floor","") &amp; " " &amp; CHOOSE(MIN((ROW()-1)-IFERROR(INDEX(Floors!$L$2:$L$201, MATCH(ROW()-1-0.0001, Floors!$L$2:$L$201, 1)), 0), 4), "North", "South", "East", "West"))</f>
        <v/>
      </c>
      <c r="E233" s="12" t="n"/>
      <c r="F233" s="12" t="n"/>
      <c r="G233" s="12" t="n"/>
      <c r="H233" s="16" t="n"/>
      <c r="I233" s="16" t="n"/>
      <c r="J233" s="15">
        <f>IF(ROW()-1&gt;SUM(Floors!$E$2:$E$201), "", INDEX(Floors!$F$2:$F$201, IFERROR(MATCH(ROW()-1-0.0001, Floors!$L$2:$L$201, 1), 0)+1))</f>
        <v/>
      </c>
      <c r="K233" s="15">
        <f>IF(ROW()-1&gt;SUM(Floors!$E$2:$E$201), "", INDEX(Floors!$H$2:$H$201, IFERROR(MATCH(ROW()-1-0.0001, Floors!$L$2:$L$201, 1), 0)+1))</f>
        <v/>
      </c>
      <c r="L233" s="14">
        <f>IF(ROW()-1&gt;SUM(Floors!$E$2:$E$201), "", INDEX(Floors!$D$2:$D$201, IFERROR(MATCH(ROW()-1-0.0001, Floors!$L$2:$L$201, 1), 0)+1))</f>
        <v/>
      </c>
      <c r="M233" s="15">
        <f>IF(ROW()-1&gt;SUM(Floors!$E$2:$E$201), "", INDEX(Floors!$K$2:$K$201, IFERROR(MATCH(ROW()-1-0.0001, Floors!$L$2:$L$201, 1), 0)+1))</f>
        <v/>
      </c>
    </row>
    <row r="234">
      <c r="A234" s="6">
        <f>IF(J234="","",IF(J234=J233,"",J234))</f>
        <v/>
      </c>
      <c r="B234" s="6">
        <f>IF(K234="","",IF(K234=K233,"",K234))</f>
        <v/>
      </c>
      <c r="C234" s="5">
        <f>IF(L234="","",IF(L234=L233,"",L234))</f>
        <v/>
      </c>
      <c r="D234" s="6">
        <f>IF(L234="","", SUBSTITUTE(M234," Floor","") &amp; " " &amp; CHOOSE(MIN((ROW()-1)-IFERROR(INDEX(Floors!$L$2:$L$201, MATCH(ROW()-1-0.0001, Floors!$L$2:$L$201, 1)), 0), 4), "North", "South", "East", "West"))</f>
        <v/>
      </c>
      <c r="E234" s="12" t="n"/>
      <c r="F234" s="12" t="n"/>
      <c r="G234" s="12" t="n"/>
      <c r="H234" s="16" t="n"/>
      <c r="I234" s="16" t="n"/>
      <c r="J234" s="15">
        <f>IF(ROW()-1&gt;SUM(Floors!$E$2:$E$201), "", INDEX(Floors!$F$2:$F$201, IFERROR(MATCH(ROW()-1-0.0001, Floors!$L$2:$L$201, 1), 0)+1))</f>
        <v/>
      </c>
      <c r="K234" s="15">
        <f>IF(ROW()-1&gt;SUM(Floors!$E$2:$E$201), "", INDEX(Floors!$H$2:$H$201, IFERROR(MATCH(ROW()-1-0.0001, Floors!$L$2:$L$201, 1), 0)+1))</f>
        <v/>
      </c>
      <c r="L234" s="14">
        <f>IF(ROW()-1&gt;SUM(Floors!$E$2:$E$201), "", INDEX(Floors!$D$2:$D$201, IFERROR(MATCH(ROW()-1-0.0001, Floors!$L$2:$L$201, 1), 0)+1))</f>
        <v/>
      </c>
      <c r="M234" s="15">
        <f>IF(ROW()-1&gt;SUM(Floors!$E$2:$E$201), "", INDEX(Floors!$K$2:$K$201, IFERROR(MATCH(ROW()-1-0.0001, Floors!$L$2:$L$201, 1), 0)+1))</f>
        <v/>
      </c>
    </row>
    <row r="235">
      <c r="A235" s="6">
        <f>IF(J235="","",IF(J235=J234,"",J235))</f>
        <v/>
      </c>
      <c r="B235" s="6">
        <f>IF(K235="","",IF(K235=K234,"",K235))</f>
        <v/>
      </c>
      <c r="C235" s="5">
        <f>IF(L235="","",IF(L235=L234,"",L235))</f>
        <v/>
      </c>
      <c r="D235" s="6">
        <f>IF(L235="","", SUBSTITUTE(M235," Floor","") &amp; " " &amp; CHOOSE(MIN((ROW()-1)-IFERROR(INDEX(Floors!$L$2:$L$201, MATCH(ROW()-1-0.0001, Floors!$L$2:$L$201, 1)), 0), 4), "North", "South", "East", "West"))</f>
        <v/>
      </c>
      <c r="E235" s="12" t="n"/>
      <c r="F235" s="12" t="n"/>
      <c r="G235" s="12" t="n"/>
      <c r="H235" s="16" t="n"/>
      <c r="I235" s="16" t="n"/>
      <c r="J235" s="15">
        <f>IF(ROW()-1&gt;SUM(Floors!$E$2:$E$201), "", INDEX(Floors!$F$2:$F$201, IFERROR(MATCH(ROW()-1-0.0001, Floors!$L$2:$L$201, 1), 0)+1))</f>
        <v/>
      </c>
      <c r="K235" s="15">
        <f>IF(ROW()-1&gt;SUM(Floors!$E$2:$E$201), "", INDEX(Floors!$H$2:$H$201, IFERROR(MATCH(ROW()-1-0.0001, Floors!$L$2:$L$201, 1), 0)+1))</f>
        <v/>
      </c>
      <c r="L235" s="14">
        <f>IF(ROW()-1&gt;SUM(Floors!$E$2:$E$201), "", INDEX(Floors!$D$2:$D$201, IFERROR(MATCH(ROW()-1-0.0001, Floors!$L$2:$L$201, 1), 0)+1))</f>
        <v/>
      </c>
      <c r="M235" s="15">
        <f>IF(ROW()-1&gt;SUM(Floors!$E$2:$E$201), "", INDEX(Floors!$K$2:$K$201, IFERROR(MATCH(ROW()-1-0.0001, Floors!$L$2:$L$201, 1), 0)+1))</f>
        <v/>
      </c>
    </row>
    <row r="236">
      <c r="A236" s="6">
        <f>IF(J236="","",IF(J236=J235,"",J236))</f>
        <v/>
      </c>
      <c r="B236" s="6">
        <f>IF(K236="","",IF(K236=K235,"",K236))</f>
        <v/>
      </c>
      <c r="C236" s="5">
        <f>IF(L236="","",IF(L236=L235,"",L236))</f>
        <v/>
      </c>
      <c r="D236" s="6">
        <f>IF(L236="","", SUBSTITUTE(M236," Floor","") &amp; " " &amp; CHOOSE(MIN((ROW()-1)-IFERROR(INDEX(Floors!$L$2:$L$201, MATCH(ROW()-1-0.0001, Floors!$L$2:$L$201, 1)), 0), 4), "North", "South", "East", "West"))</f>
        <v/>
      </c>
      <c r="E236" s="12" t="n"/>
      <c r="F236" s="12" t="n"/>
      <c r="G236" s="12" t="n"/>
      <c r="H236" s="16" t="n"/>
      <c r="I236" s="16" t="n"/>
      <c r="J236" s="15">
        <f>IF(ROW()-1&gt;SUM(Floors!$E$2:$E$201), "", INDEX(Floors!$F$2:$F$201, IFERROR(MATCH(ROW()-1-0.0001, Floors!$L$2:$L$201, 1), 0)+1))</f>
        <v/>
      </c>
      <c r="K236" s="15">
        <f>IF(ROW()-1&gt;SUM(Floors!$E$2:$E$201), "", INDEX(Floors!$H$2:$H$201, IFERROR(MATCH(ROW()-1-0.0001, Floors!$L$2:$L$201, 1), 0)+1))</f>
        <v/>
      </c>
      <c r="L236" s="14">
        <f>IF(ROW()-1&gt;SUM(Floors!$E$2:$E$201), "", INDEX(Floors!$D$2:$D$201, IFERROR(MATCH(ROW()-1-0.0001, Floors!$L$2:$L$201, 1), 0)+1))</f>
        <v/>
      </c>
      <c r="M236" s="15">
        <f>IF(ROW()-1&gt;SUM(Floors!$E$2:$E$201), "", INDEX(Floors!$K$2:$K$201, IFERROR(MATCH(ROW()-1-0.0001, Floors!$L$2:$L$201, 1), 0)+1))</f>
        <v/>
      </c>
    </row>
    <row r="237">
      <c r="A237" s="6">
        <f>IF(J237="","",IF(J237=J236,"",J237))</f>
        <v/>
      </c>
      <c r="B237" s="6">
        <f>IF(K237="","",IF(K237=K236,"",K237))</f>
        <v/>
      </c>
      <c r="C237" s="5">
        <f>IF(L237="","",IF(L237=L236,"",L237))</f>
        <v/>
      </c>
      <c r="D237" s="6">
        <f>IF(L237="","", SUBSTITUTE(M237," Floor","") &amp; " " &amp; CHOOSE(MIN((ROW()-1)-IFERROR(INDEX(Floors!$L$2:$L$201, MATCH(ROW()-1-0.0001, Floors!$L$2:$L$201, 1)), 0), 4), "North", "South", "East", "West"))</f>
        <v/>
      </c>
      <c r="E237" s="12" t="n"/>
      <c r="F237" s="12" t="n"/>
      <c r="G237" s="12" t="n"/>
      <c r="H237" s="16" t="n"/>
      <c r="I237" s="16" t="n"/>
      <c r="J237" s="15">
        <f>IF(ROW()-1&gt;SUM(Floors!$E$2:$E$201), "", INDEX(Floors!$F$2:$F$201, IFERROR(MATCH(ROW()-1-0.0001, Floors!$L$2:$L$201, 1), 0)+1))</f>
        <v/>
      </c>
      <c r="K237" s="15">
        <f>IF(ROW()-1&gt;SUM(Floors!$E$2:$E$201), "", INDEX(Floors!$H$2:$H$201, IFERROR(MATCH(ROW()-1-0.0001, Floors!$L$2:$L$201, 1), 0)+1))</f>
        <v/>
      </c>
      <c r="L237" s="14">
        <f>IF(ROW()-1&gt;SUM(Floors!$E$2:$E$201), "", INDEX(Floors!$D$2:$D$201, IFERROR(MATCH(ROW()-1-0.0001, Floors!$L$2:$L$201, 1), 0)+1))</f>
        <v/>
      </c>
      <c r="M237" s="15">
        <f>IF(ROW()-1&gt;SUM(Floors!$E$2:$E$201), "", INDEX(Floors!$K$2:$K$201, IFERROR(MATCH(ROW()-1-0.0001, Floors!$L$2:$L$201, 1), 0)+1))</f>
        <v/>
      </c>
    </row>
    <row r="238">
      <c r="A238" s="6">
        <f>IF(J238="","",IF(J238=J237,"",J238))</f>
        <v/>
      </c>
      <c r="B238" s="6">
        <f>IF(K238="","",IF(K238=K237,"",K238))</f>
        <v/>
      </c>
      <c r="C238" s="5">
        <f>IF(L238="","",IF(L238=L237,"",L238))</f>
        <v/>
      </c>
      <c r="D238" s="6">
        <f>IF(L238="","", SUBSTITUTE(M238," Floor","") &amp; " " &amp; CHOOSE(MIN((ROW()-1)-IFERROR(INDEX(Floors!$L$2:$L$201, MATCH(ROW()-1-0.0001, Floors!$L$2:$L$201, 1)), 0), 4), "North", "South", "East", "West"))</f>
        <v/>
      </c>
      <c r="E238" s="12" t="n"/>
      <c r="F238" s="12" t="n"/>
      <c r="G238" s="12" t="n"/>
      <c r="H238" s="16" t="n"/>
      <c r="I238" s="16" t="n"/>
      <c r="J238" s="15">
        <f>IF(ROW()-1&gt;SUM(Floors!$E$2:$E$201), "", INDEX(Floors!$F$2:$F$201, IFERROR(MATCH(ROW()-1-0.0001, Floors!$L$2:$L$201, 1), 0)+1))</f>
        <v/>
      </c>
      <c r="K238" s="15">
        <f>IF(ROW()-1&gt;SUM(Floors!$E$2:$E$201), "", INDEX(Floors!$H$2:$H$201, IFERROR(MATCH(ROW()-1-0.0001, Floors!$L$2:$L$201, 1), 0)+1))</f>
        <v/>
      </c>
      <c r="L238" s="14">
        <f>IF(ROW()-1&gt;SUM(Floors!$E$2:$E$201), "", INDEX(Floors!$D$2:$D$201, IFERROR(MATCH(ROW()-1-0.0001, Floors!$L$2:$L$201, 1), 0)+1))</f>
        <v/>
      </c>
      <c r="M238" s="15">
        <f>IF(ROW()-1&gt;SUM(Floors!$E$2:$E$201), "", INDEX(Floors!$K$2:$K$201, IFERROR(MATCH(ROW()-1-0.0001, Floors!$L$2:$L$201, 1), 0)+1))</f>
        <v/>
      </c>
    </row>
    <row r="239">
      <c r="A239" s="6">
        <f>IF(J239="","",IF(J239=J238,"",J239))</f>
        <v/>
      </c>
      <c r="B239" s="6">
        <f>IF(K239="","",IF(K239=K238,"",K239))</f>
        <v/>
      </c>
      <c r="C239" s="5">
        <f>IF(L239="","",IF(L239=L238,"",L239))</f>
        <v/>
      </c>
      <c r="D239" s="6">
        <f>IF(L239="","", SUBSTITUTE(M239," Floor","") &amp; " " &amp; CHOOSE(MIN((ROW()-1)-IFERROR(INDEX(Floors!$L$2:$L$201, MATCH(ROW()-1-0.0001, Floors!$L$2:$L$201, 1)), 0), 4), "North", "South", "East", "West"))</f>
        <v/>
      </c>
      <c r="E239" s="12" t="n"/>
      <c r="F239" s="12" t="n"/>
      <c r="G239" s="12" t="n"/>
      <c r="H239" s="16" t="n"/>
      <c r="I239" s="16" t="n"/>
      <c r="J239" s="15">
        <f>IF(ROW()-1&gt;SUM(Floors!$E$2:$E$201), "", INDEX(Floors!$F$2:$F$201, IFERROR(MATCH(ROW()-1-0.0001, Floors!$L$2:$L$201, 1), 0)+1))</f>
        <v/>
      </c>
      <c r="K239" s="15">
        <f>IF(ROW()-1&gt;SUM(Floors!$E$2:$E$201), "", INDEX(Floors!$H$2:$H$201, IFERROR(MATCH(ROW()-1-0.0001, Floors!$L$2:$L$201, 1), 0)+1))</f>
        <v/>
      </c>
      <c r="L239" s="14">
        <f>IF(ROW()-1&gt;SUM(Floors!$E$2:$E$201), "", INDEX(Floors!$D$2:$D$201, IFERROR(MATCH(ROW()-1-0.0001, Floors!$L$2:$L$201, 1), 0)+1))</f>
        <v/>
      </c>
      <c r="M239" s="15">
        <f>IF(ROW()-1&gt;SUM(Floors!$E$2:$E$201), "", INDEX(Floors!$K$2:$K$201, IFERROR(MATCH(ROW()-1-0.0001, Floors!$L$2:$L$201, 1), 0)+1))</f>
        <v/>
      </c>
    </row>
    <row r="240">
      <c r="A240" s="6">
        <f>IF(J240="","",IF(J240=J239,"",J240))</f>
        <v/>
      </c>
      <c r="B240" s="6">
        <f>IF(K240="","",IF(K240=K239,"",K240))</f>
        <v/>
      </c>
      <c r="C240" s="5">
        <f>IF(L240="","",IF(L240=L239,"",L240))</f>
        <v/>
      </c>
      <c r="D240" s="6">
        <f>IF(L240="","", SUBSTITUTE(M240," Floor","") &amp; " " &amp; CHOOSE(MIN((ROW()-1)-IFERROR(INDEX(Floors!$L$2:$L$201, MATCH(ROW()-1-0.0001, Floors!$L$2:$L$201, 1)), 0), 4), "North", "South", "East", "West"))</f>
        <v/>
      </c>
      <c r="E240" s="12" t="n"/>
      <c r="F240" s="12" t="n"/>
      <c r="G240" s="12" t="n"/>
      <c r="H240" s="16" t="n"/>
      <c r="I240" s="16" t="n"/>
      <c r="J240" s="15">
        <f>IF(ROW()-1&gt;SUM(Floors!$E$2:$E$201), "", INDEX(Floors!$F$2:$F$201, IFERROR(MATCH(ROW()-1-0.0001, Floors!$L$2:$L$201, 1), 0)+1))</f>
        <v/>
      </c>
      <c r="K240" s="15">
        <f>IF(ROW()-1&gt;SUM(Floors!$E$2:$E$201), "", INDEX(Floors!$H$2:$H$201, IFERROR(MATCH(ROW()-1-0.0001, Floors!$L$2:$L$201, 1), 0)+1))</f>
        <v/>
      </c>
      <c r="L240" s="14">
        <f>IF(ROW()-1&gt;SUM(Floors!$E$2:$E$201), "", INDEX(Floors!$D$2:$D$201, IFERROR(MATCH(ROW()-1-0.0001, Floors!$L$2:$L$201, 1), 0)+1))</f>
        <v/>
      </c>
      <c r="M240" s="15">
        <f>IF(ROW()-1&gt;SUM(Floors!$E$2:$E$201), "", INDEX(Floors!$K$2:$K$201, IFERROR(MATCH(ROW()-1-0.0001, Floors!$L$2:$L$201, 1), 0)+1))</f>
        <v/>
      </c>
    </row>
    <row r="241">
      <c r="A241" s="6">
        <f>IF(J241="","",IF(J241=J240,"",J241))</f>
        <v/>
      </c>
      <c r="B241" s="6">
        <f>IF(K241="","",IF(K241=K240,"",K241))</f>
        <v/>
      </c>
      <c r="C241" s="5">
        <f>IF(L241="","",IF(L241=L240,"",L241))</f>
        <v/>
      </c>
      <c r="D241" s="6">
        <f>IF(L241="","", SUBSTITUTE(M241," Floor","") &amp; " " &amp; CHOOSE(MIN((ROW()-1)-IFERROR(INDEX(Floors!$L$2:$L$201, MATCH(ROW()-1-0.0001, Floors!$L$2:$L$201, 1)), 0), 4), "North", "South", "East", "West"))</f>
        <v/>
      </c>
      <c r="E241" s="12" t="n"/>
      <c r="F241" s="12" t="n"/>
      <c r="G241" s="12" t="n"/>
      <c r="H241" s="16" t="n"/>
      <c r="I241" s="16" t="n"/>
      <c r="J241" s="15">
        <f>IF(ROW()-1&gt;SUM(Floors!$E$2:$E$201), "", INDEX(Floors!$F$2:$F$201, IFERROR(MATCH(ROW()-1-0.0001, Floors!$L$2:$L$201, 1), 0)+1))</f>
        <v/>
      </c>
      <c r="K241" s="15">
        <f>IF(ROW()-1&gt;SUM(Floors!$E$2:$E$201), "", INDEX(Floors!$H$2:$H$201, IFERROR(MATCH(ROW()-1-0.0001, Floors!$L$2:$L$201, 1), 0)+1))</f>
        <v/>
      </c>
      <c r="L241" s="14">
        <f>IF(ROW()-1&gt;SUM(Floors!$E$2:$E$201), "", INDEX(Floors!$D$2:$D$201, IFERROR(MATCH(ROW()-1-0.0001, Floors!$L$2:$L$201, 1), 0)+1))</f>
        <v/>
      </c>
      <c r="M241" s="15">
        <f>IF(ROW()-1&gt;SUM(Floors!$E$2:$E$201), "", INDEX(Floors!$K$2:$K$201, IFERROR(MATCH(ROW()-1-0.0001, Floors!$L$2:$L$201, 1), 0)+1))</f>
        <v/>
      </c>
    </row>
    <row r="242">
      <c r="A242" s="6">
        <f>IF(J242="","",IF(J242=J241,"",J242))</f>
        <v/>
      </c>
      <c r="B242" s="6">
        <f>IF(K242="","",IF(K242=K241,"",K242))</f>
        <v/>
      </c>
      <c r="C242" s="5">
        <f>IF(L242="","",IF(L242=L241,"",L242))</f>
        <v/>
      </c>
      <c r="D242" s="6">
        <f>IF(L242="","", SUBSTITUTE(M242," Floor","") &amp; " " &amp; CHOOSE(MIN((ROW()-1)-IFERROR(INDEX(Floors!$L$2:$L$201, MATCH(ROW()-1-0.0001, Floors!$L$2:$L$201, 1)), 0), 4), "North", "South", "East", "West"))</f>
        <v/>
      </c>
      <c r="E242" s="12" t="n"/>
      <c r="F242" s="12" t="n"/>
      <c r="G242" s="12" t="n"/>
      <c r="H242" s="16" t="n"/>
      <c r="I242" s="16" t="n"/>
      <c r="J242" s="15">
        <f>IF(ROW()-1&gt;SUM(Floors!$E$2:$E$201), "", INDEX(Floors!$F$2:$F$201, IFERROR(MATCH(ROW()-1-0.0001, Floors!$L$2:$L$201, 1), 0)+1))</f>
        <v/>
      </c>
      <c r="K242" s="15">
        <f>IF(ROW()-1&gt;SUM(Floors!$E$2:$E$201), "", INDEX(Floors!$H$2:$H$201, IFERROR(MATCH(ROW()-1-0.0001, Floors!$L$2:$L$201, 1), 0)+1))</f>
        <v/>
      </c>
      <c r="L242" s="14">
        <f>IF(ROW()-1&gt;SUM(Floors!$E$2:$E$201), "", INDEX(Floors!$D$2:$D$201, IFERROR(MATCH(ROW()-1-0.0001, Floors!$L$2:$L$201, 1), 0)+1))</f>
        <v/>
      </c>
      <c r="M242" s="15">
        <f>IF(ROW()-1&gt;SUM(Floors!$E$2:$E$201), "", INDEX(Floors!$K$2:$K$201, IFERROR(MATCH(ROW()-1-0.0001, Floors!$L$2:$L$201, 1), 0)+1))</f>
        <v/>
      </c>
    </row>
    <row r="243">
      <c r="A243" s="6">
        <f>IF(J243="","",IF(J243=J242,"",J243))</f>
        <v/>
      </c>
      <c r="B243" s="6">
        <f>IF(K243="","",IF(K243=K242,"",K243))</f>
        <v/>
      </c>
      <c r="C243" s="5">
        <f>IF(L243="","",IF(L243=L242,"",L243))</f>
        <v/>
      </c>
      <c r="D243" s="6">
        <f>IF(L243="","", SUBSTITUTE(M243," Floor","") &amp; " " &amp; CHOOSE(MIN((ROW()-1)-IFERROR(INDEX(Floors!$L$2:$L$201, MATCH(ROW()-1-0.0001, Floors!$L$2:$L$201, 1)), 0), 4), "North", "South", "East", "West"))</f>
        <v/>
      </c>
      <c r="E243" s="12" t="n"/>
      <c r="F243" s="12" t="n"/>
      <c r="G243" s="12" t="n"/>
      <c r="H243" s="16" t="n"/>
      <c r="I243" s="16" t="n"/>
      <c r="J243" s="15">
        <f>IF(ROW()-1&gt;SUM(Floors!$E$2:$E$201), "", INDEX(Floors!$F$2:$F$201, IFERROR(MATCH(ROW()-1-0.0001, Floors!$L$2:$L$201, 1), 0)+1))</f>
        <v/>
      </c>
      <c r="K243" s="15">
        <f>IF(ROW()-1&gt;SUM(Floors!$E$2:$E$201), "", INDEX(Floors!$H$2:$H$201, IFERROR(MATCH(ROW()-1-0.0001, Floors!$L$2:$L$201, 1), 0)+1))</f>
        <v/>
      </c>
      <c r="L243" s="14">
        <f>IF(ROW()-1&gt;SUM(Floors!$E$2:$E$201), "", INDEX(Floors!$D$2:$D$201, IFERROR(MATCH(ROW()-1-0.0001, Floors!$L$2:$L$201, 1), 0)+1))</f>
        <v/>
      </c>
      <c r="M243" s="15">
        <f>IF(ROW()-1&gt;SUM(Floors!$E$2:$E$201), "", INDEX(Floors!$K$2:$K$201, IFERROR(MATCH(ROW()-1-0.0001, Floors!$L$2:$L$201, 1), 0)+1))</f>
        <v/>
      </c>
    </row>
    <row r="244">
      <c r="A244" s="6">
        <f>IF(J244="","",IF(J244=J243,"",J244))</f>
        <v/>
      </c>
      <c r="B244" s="6">
        <f>IF(K244="","",IF(K244=K243,"",K244))</f>
        <v/>
      </c>
      <c r="C244" s="5">
        <f>IF(L244="","",IF(L244=L243,"",L244))</f>
        <v/>
      </c>
      <c r="D244" s="6">
        <f>IF(L244="","", SUBSTITUTE(M244," Floor","") &amp; " " &amp; CHOOSE(MIN((ROW()-1)-IFERROR(INDEX(Floors!$L$2:$L$201, MATCH(ROW()-1-0.0001, Floors!$L$2:$L$201, 1)), 0), 4), "North", "South", "East", "West"))</f>
        <v/>
      </c>
      <c r="E244" s="12" t="n"/>
      <c r="F244" s="12" t="n"/>
      <c r="G244" s="12" t="n"/>
      <c r="H244" s="16" t="n"/>
      <c r="I244" s="16" t="n"/>
      <c r="J244" s="15">
        <f>IF(ROW()-1&gt;SUM(Floors!$E$2:$E$201), "", INDEX(Floors!$F$2:$F$201, IFERROR(MATCH(ROW()-1-0.0001, Floors!$L$2:$L$201, 1), 0)+1))</f>
        <v/>
      </c>
      <c r="K244" s="15">
        <f>IF(ROW()-1&gt;SUM(Floors!$E$2:$E$201), "", INDEX(Floors!$H$2:$H$201, IFERROR(MATCH(ROW()-1-0.0001, Floors!$L$2:$L$201, 1), 0)+1))</f>
        <v/>
      </c>
      <c r="L244" s="14">
        <f>IF(ROW()-1&gt;SUM(Floors!$E$2:$E$201), "", INDEX(Floors!$D$2:$D$201, IFERROR(MATCH(ROW()-1-0.0001, Floors!$L$2:$L$201, 1), 0)+1))</f>
        <v/>
      </c>
      <c r="M244" s="15">
        <f>IF(ROW()-1&gt;SUM(Floors!$E$2:$E$201), "", INDEX(Floors!$K$2:$K$201, IFERROR(MATCH(ROW()-1-0.0001, Floors!$L$2:$L$201, 1), 0)+1))</f>
        <v/>
      </c>
    </row>
    <row r="245">
      <c r="A245" s="6">
        <f>IF(J245="","",IF(J245=J244,"",J245))</f>
        <v/>
      </c>
      <c r="B245" s="6">
        <f>IF(K245="","",IF(K245=K244,"",K245))</f>
        <v/>
      </c>
      <c r="C245" s="5">
        <f>IF(L245="","",IF(L245=L244,"",L245))</f>
        <v/>
      </c>
      <c r="D245" s="6">
        <f>IF(L245="","", SUBSTITUTE(M245," Floor","") &amp; " " &amp; CHOOSE(MIN((ROW()-1)-IFERROR(INDEX(Floors!$L$2:$L$201, MATCH(ROW()-1-0.0001, Floors!$L$2:$L$201, 1)), 0), 4), "North", "South", "East", "West"))</f>
        <v/>
      </c>
      <c r="E245" s="12" t="n"/>
      <c r="F245" s="12" t="n"/>
      <c r="G245" s="12" t="n"/>
      <c r="H245" s="16" t="n"/>
      <c r="I245" s="16" t="n"/>
      <c r="J245" s="15">
        <f>IF(ROW()-1&gt;SUM(Floors!$E$2:$E$201), "", INDEX(Floors!$F$2:$F$201, IFERROR(MATCH(ROW()-1-0.0001, Floors!$L$2:$L$201, 1), 0)+1))</f>
        <v/>
      </c>
      <c r="K245" s="15">
        <f>IF(ROW()-1&gt;SUM(Floors!$E$2:$E$201), "", INDEX(Floors!$H$2:$H$201, IFERROR(MATCH(ROW()-1-0.0001, Floors!$L$2:$L$201, 1), 0)+1))</f>
        <v/>
      </c>
      <c r="L245" s="14">
        <f>IF(ROW()-1&gt;SUM(Floors!$E$2:$E$201), "", INDEX(Floors!$D$2:$D$201, IFERROR(MATCH(ROW()-1-0.0001, Floors!$L$2:$L$201, 1), 0)+1))</f>
        <v/>
      </c>
      <c r="M245" s="15">
        <f>IF(ROW()-1&gt;SUM(Floors!$E$2:$E$201), "", INDEX(Floors!$K$2:$K$201, IFERROR(MATCH(ROW()-1-0.0001, Floors!$L$2:$L$201, 1), 0)+1))</f>
        <v/>
      </c>
    </row>
    <row r="246">
      <c r="A246" s="6">
        <f>IF(J246="","",IF(J246=J245,"",J246))</f>
        <v/>
      </c>
      <c r="B246" s="6">
        <f>IF(K246="","",IF(K246=K245,"",K246))</f>
        <v/>
      </c>
      <c r="C246" s="5">
        <f>IF(L246="","",IF(L246=L245,"",L246))</f>
        <v/>
      </c>
      <c r="D246" s="6">
        <f>IF(L246="","", SUBSTITUTE(M246," Floor","") &amp; " " &amp; CHOOSE(MIN((ROW()-1)-IFERROR(INDEX(Floors!$L$2:$L$201, MATCH(ROW()-1-0.0001, Floors!$L$2:$L$201, 1)), 0), 4), "North", "South", "East", "West"))</f>
        <v/>
      </c>
      <c r="E246" s="12" t="n"/>
      <c r="F246" s="12" t="n"/>
      <c r="G246" s="12" t="n"/>
      <c r="H246" s="16" t="n"/>
      <c r="I246" s="16" t="n"/>
      <c r="J246" s="15">
        <f>IF(ROW()-1&gt;SUM(Floors!$E$2:$E$201), "", INDEX(Floors!$F$2:$F$201, IFERROR(MATCH(ROW()-1-0.0001, Floors!$L$2:$L$201, 1), 0)+1))</f>
        <v/>
      </c>
      <c r="K246" s="15">
        <f>IF(ROW()-1&gt;SUM(Floors!$E$2:$E$201), "", INDEX(Floors!$H$2:$H$201, IFERROR(MATCH(ROW()-1-0.0001, Floors!$L$2:$L$201, 1), 0)+1))</f>
        <v/>
      </c>
      <c r="L246" s="14">
        <f>IF(ROW()-1&gt;SUM(Floors!$E$2:$E$201), "", INDEX(Floors!$D$2:$D$201, IFERROR(MATCH(ROW()-1-0.0001, Floors!$L$2:$L$201, 1), 0)+1))</f>
        <v/>
      </c>
      <c r="M246" s="15">
        <f>IF(ROW()-1&gt;SUM(Floors!$E$2:$E$201), "", INDEX(Floors!$K$2:$K$201, IFERROR(MATCH(ROW()-1-0.0001, Floors!$L$2:$L$201, 1), 0)+1))</f>
        <v/>
      </c>
    </row>
    <row r="247">
      <c r="A247" s="6">
        <f>IF(J247="","",IF(J247=J246,"",J247))</f>
        <v/>
      </c>
      <c r="B247" s="6">
        <f>IF(K247="","",IF(K247=K246,"",K247))</f>
        <v/>
      </c>
      <c r="C247" s="5">
        <f>IF(L247="","",IF(L247=L246,"",L247))</f>
        <v/>
      </c>
      <c r="D247" s="6">
        <f>IF(L247="","", SUBSTITUTE(M247," Floor","") &amp; " " &amp; CHOOSE(MIN((ROW()-1)-IFERROR(INDEX(Floors!$L$2:$L$201, MATCH(ROW()-1-0.0001, Floors!$L$2:$L$201, 1)), 0), 4), "North", "South", "East", "West"))</f>
        <v/>
      </c>
      <c r="E247" s="12" t="n"/>
      <c r="F247" s="12" t="n"/>
      <c r="G247" s="12" t="n"/>
      <c r="H247" s="16" t="n"/>
      <c r="I247" s="16" t="n"/>
      <c r="J247" s="15">
        <f>IF(ROW()-1&gt;SUM(Floors!$E$2:$E$201), "", INDEX(Floors!$F$2:$F$201, IFERROR(MATCH(ROW()-1-0.0001, Floors!$L$2:$L$201, 1), 0)+1))</f>
        <v/>
      </c>
      <c r="K247" s="15">
        <f>IF(ROW()-1&gt;SUM(Floors!$E$2:$E$201), "", INDEX(Floors!$H$2:$H$201, IFERROR(MATCH(ROW()-1-0.0001, Floors!$L$2:$L$201, 1), 0)+1))</f>
        <v/>
      </c>
      <c r="L247" s="14">
        <f>IF(ROW()-1&gt;SUM(Floors!$E$2:$E$201), "", INDEX(Floors!$D$2:$D$201, IFERROR(MATCH(ROW()-1-0.0001, Floors!$L$2:$L$201, 1), 0)+1))</f>
        <v/>
      </c>
      <c r="M247" s="15">
        <f>IF(ROW()-1&gt;SUM(Floors!$E$2:$E$201), "", INDEX(Floors!$K$2:$K$201, IFERROR(MATCH(ROW()-1-0.0001, Floors!$L$2:$L$201, 1), 0)+1))</f>
        <v/>
      </c>
    </row>
    <row r="248">
      <c r="A248" s="6">
        <f>IF(J248="","",IF(J248=J247,"",J248))</f>
        <v/>
      </c>
      <c r="B248" s="6">
        <f>IF(K248="","",IF(K248=K247,"",K248))</f>
        <v/>
      </c>
      <c r="C248" s="5">
        <f>IF(L248="","",IF(L248=L247,"",L248))</f>
        <v/>
      </c>
      <c r="D248" s="6">
        <f>IF(L248="","", SUBSTITUTE(M248," Floor","") &amp; " " &amp; CHOOSE(MIN((ROW()-1)-IFERROR(INDEX(Floors!$L$2:$L$201, MATCH(ROW()-1-0.0001, Floors!$L$2:$L$201, 1)), 0), 4), "North", "South", "East", "West"))</f>
        <v/>
      </c>
      <c r="E248" s="12" t="n"/>
      <c r="F248" s="12" t="n"/>
      <c r="G248" s="12" t="n"/>
      <c r="H248" s="16" t="n"/>
      <c r="I248" s="16" t="n"/>
      <c r="J248" s="15">
        <f>IF(ROW()-1&gt;SUM(Floors!$E$2:$E$201), "", INDEX(Floors!$F$2:$F$201, IFERROR(MATCH(ROW()-1-0.0001, Floors!$L$2:$L$201, 1), 0)+1))</f>
        <v/>
      </c>
      <c r="K248" s="15">
        <f>IF(ROW()-1&gt;SUM(Floors!$E$2:$E$201), "", INDEX(Floors!$H$2:$H$201, IFERROR(MATCH(ROW()-1-0.0001, Floors!$L$2:$L$201, 1), 0)+1))</f>
        <v/>
      </c>
      <c r="L248" s="14">
        <f>IF(ROW()-1&gt;SUM(Floors!$E$2:$E$201), "", INDEX(Floors!$D$2:$D$201, IFERROR(MATCH(ROW()-1-0.0001, Floors!$L$2:$L$201, 1), 0)+1))</f>
        <v/>
      </c>
      <c r="M248" s="15">
        <f>IF(ROW()-1&gt;SUM(Floors!$E$2:$E$201), "", INDEX(Floors!$K$2:$K$201, IFERROR(MATCH(ROW()-1-0.0001, Floors!$L$2:$L$201, 1), 0)+1))</f>
        <v/>
      </c>
    </row>
    <row r="249">
      <c r="A249" s="6">
        <f>IF(J249="","",IF(J249=J248,"",J249))</f>
        <v/>
      </c>
      <c r="B249" s="6">
        <f>IF(K249="","",IF(K249=K248,"",K249))</f>
        <v/>
      </c>
      <c r="C249" s="5">
        <f>IF(L249="","",IF(L249=L248,"",L249))</f>
        <v/>
      </c>
      <c r="D249" s="6">
        <f>IF(L249="","", SUBSTITUTE(M249," Floor","") &amp; " " &amp; CHOOSE(MIN((ROW()-1)-IFERROR(INDEX(Floors!$L$2:$L$201, MATCH(ROW()-1-0.0001, Floors!$L$2:$L$201, 1)), 0), 4), "North", "South", "East", "West"))</f>
        <v/>
      </c>
      <c r="E249" s="12" t="n"/>
      <c r="F249" s="12" t="n"/>
      <c r="G249" s="12" t="n"/>
      <c r="H249" s="16" t="n"/>
      <c r="I249" s="16" t="n"/>
      <c r="J249" s="15">
        <f>IF(ROW()-1&gt;SUM(Floors!$E$2:$E$201), "", INDEX(Floors!$F$2:$F$201, IFERROR(MATCH(ROW()-1-0.0001, Floors!$L$2:$L$201, 1), 0)+1))</f>
        <v/>
      </c>
      <c r="K249" s="15">
        <f>IF(ROW()-1&gt;SUM(Floors!$E$2:$E$201), "", INDEX(Floors!$H$2:$H$201, IFERROR(MATCH(ROW()-1-0.0001, Floors!$L$2:$L$201, 1), 0)+1))</f>
        <v/>
      </c>
      <c r="L249" s="14">
        <f>IF(ROW()-1&gt;SUM(Floors!$E$2:$E$201), "", INDEX(Floors!$D$2:$D$201, IFERROR(MATCH(ROW()-1-0.0001, Floors!$L$2:$L$201, 1), 0)+1))</f>
        <v/>
      </c>
      <c r="M249" s="15">
        <f>IF(ROW()-1&gt;SUM(Floors!$E$2:$E$201), "", INDEX(Floors!$K$2:$K$201, IFERROR(MATCH(ROW()-1-0.0001, Floors!$L$2:$L$201, 1), 0)+1))</f>
        <v/>
      </c>
    </row>
    <row r="250">
      <c r="A250" s="6">
        <f>IF(J250="","",IF(J250=J249,"",J250))</f>
        <v/>
      </c>
      <c r="B250" s="6">
        <f>IF(K250="","",IF(K250=K249,"",K250))</f>
        <v/>
      </c>
      <c r="C250" s="5">
        <f>IF(L250="","",IF(L250=L249,"",L250))</f>
        <v/>
      </c>
      <c r="D250" s="6">
        <f>IF(L250="","", SUBSTITUTE(M250," Floor","") &amp; " " &amp; CHOOSE(MIN((ROW()-1)-IFERROR(INDEX(Floors!$L$2:$L$201, MATCH(ROW()-1-0.0001, Floors!$L$2:$L$201, 1)), 0), 4), "North", "South", "East", "West"))</f>
        <v/>
      </c>
      <c r="E250" s="12" t="n"/>
      <c r="F250" s="12" t="n"/>
      <c r="G250" s="12" t="n"/>
      <c r="H250" s="16" t="n"/>
      <c r="I250" s="16" t="n"/>
      <c r="J250" s="15">
        <f>IF(ROW()-1&gt;SUM(Floors!$E$2:$E$201), "", INDEX(Floors!$F$2:$F$201, IFERROR(MATCH(ROW()-1-0.0001, Floors!$L$2:$L$201, 1), 0)+1))</f>
        <v/>
      </c>
      <c r="K250" s="15">
        <f>IF(ROW()-1&gt;SUM(Floors!$E$2:$E$201), "", INDEX(Floors!$H$2:$H$201, IFERROR(MATCH(ROW()-1-0.0001, Floors!$L$2:$L$201, 1), 0)+1))</f>
        <v/>
      </c>
      <c r="L250" s="14">
        <f>IF(ROW()-1&gt;SUM(Floors!$E$2:$E$201), "", INDEX(Floors!$D$2:$D$201, IFERROR(MATCH(ROW()-1-0.0001, Floors!$L$2:$L$201, 1), 0)+1))</f>
        <v/>
      </c>
      <c r="M250" s="15">
        <f>IF(ROW()-1&gt;SUM(Floors!$E$2:$E$201), "", INDEX(Floors!$K$2:$K$201, IFERROR(MATCH(ROW()-1-0.0001, Floors!$L$2:$L$201, 1), 0)+1))</f>
        <v/>
      </c>
    </row>
    <row r="251">
      <c r="A251" s="6">
        <f>IF(J251="","",IF(J251=J250,"",J251))</f>
        <v/>
      </c>
      <c r="B251" s="6">
        <f>IF(K251="","",IF(K251=K250,"",K251))</f>
        <v/>
      </c>
      <c r="C251" s="5">
        <f>IF(L251="","",IF(L251=L250,"",L251))</f>
        <v/>
      </c>
      <c r="D251" s="6">
        <f>IF(L251="","", SUBSTITUTE(M251," Floor","") &amp; " " &amp; CHOOSE(MIN((ROW()-1)-IFERROR(INDEX(Floors!$L$2:$L$201, MATCH(ROW()-1-0.0001, Floors!$L$2:$L$201, 1)), 0), 4), "North", "South", "East", "West"))</f>
        <v/>
      </c>
      <c r="E251" s="12" t="n"/>
      <c r="F251" s="12" t="n"/>
      <c r="G251" s="12" t="n"/>
      <c r="H251" s="16" t="n"/>
      <c r="I251" s="16" t="n"/>
      <c r="J251" s="15">
        <f>IF(ROW()-1&gt;SUM(Floors!$E$2:$E$201), "", INDEX(Floors!$F$2:$F$201, IFERROR(MATCH(ROW()-1-0.0001, Floors!$L$2:$L$201, 1), 0)+1))</f>
        <v/>
      </c>
      <c r="K251" s="15">
        <f>IF(ROW()-1&gt;SUM(Floors!$E$2:$E$201), "", INDEX(Floors!$H$2:$H$201, IFERROR(MATCH(ROW()-1-0.0001, Floors!$L$2:$L$201, 1), 0)+1))</f>
        <v/>
      </c>
      <c r="L251" s="14">
        <f>IF(ROW()-1&gt;SUM(Floors!$E$2:$E$201), "", INDEX(Floors!$D$2:$D$201, IFERROR(MATCH(ROW()-1-0.0001, Floors!$L$2:$L$201, 1), 0)+1))</f>
        <v/>
      </c>
      <c r="M251" s="15">
        <f>IF(ROW()-1&gt;SUM(Floors!$E$2:$E$201), "", INDEX(Floors!$K$2:$K$201, IFERROR(MATCH(ROW()-1-0.0001, Floors!$L$2:$L$201, 1), 0)+1))</f>
        <v/>
      </c>
    </row>
    <row r="252">
      <c r="A252" s="6">
        <f>IF(J252="","",IF(J252=J251,"",J252))</f>
        <v/>
      </c>
      <c r="B252" s="6">
        <f>IF(K252="","",IF(K252=K251,"",K252))</f>
        <v/>
      </c>
      <c r="C252" s="5">
        <f>IF(L252="","",IF(L252=L251,"",L252))</f>
        <v/>
      </c>
      <c r="D252" s="6">
        <f>IF(L252="","", SUBSTITUTE(M252," Floor","") &amp; " " &amp; CHOOSE(MIN((ROW()-1)-IFERROR(INDEX(Floors!$L$2:$L$201, MATCH(ROW()-1-0.0001, Floors!$L$2:$L$201, 1)), 0), 4), "North", "South", "East", "West"))</f>
        <v/>
      </c>
      <c r="E252" s="12" t="n"/>
      <c r="F252" s="12" t="n"/>
      <c r="G252" s="12" t="n"/>
      <c r="H252" s="16" t="n"/>
      <c r="I252" s="16" t="n"/>
      <c r="J252" s="15">
        <f>IF(ROW()-1&gt;SUM(Floors!$E$2:$E$201), "", INDEX(Floors!$F$2:$F$201, IFERROR(MATCH(ROW()-1-0.0001, Floors!$L$2:$L$201, 1), 0)+1))</f>
        <v/>
      </c>
      <c r="K252" s="15">
        <f>IF(ROW()-1&gt;SUM(Floors!$E$2:$E$201), "", INDEX(Floors!$H$2:$H$201, IFERROR(MATCH(ROW()-1-0.0001, Floors!$L$2:$L$201, 1), 0)+1))</f>
        <v/>
      </c>
      <c r="L252" s="14">
        <f>IF(ROW()-1&gt;SUM(Floors!$E$2:$E$201), "", INDEX(Floors!$D$2:$D$201, IFERROR(MATCH(ROW()-1-0.0001, Floors!$L$2:$L$201, 1), 0)+1))</f>
        <v/>
      </c>
      <c r="M252" s="15">
        <f>IF(ROW()-1&gt;SUM(Floors!$E$2:$E$201), "", INDEX(Floors!$K$2:$K$201, IFERROR(MATCH(ROW()-1-0.0001, Floors!$L$2:$L$201, 1), 0)+1))</f>
        <v/>
      </c>
    </row>
    <row r="253">
      <c r="A253" s="6">
        <f>IF(J253="","",IF(J253=J252,"",J253))</f>
        <v/>
      </c>
      <c r="B253" s="6">
        <f>IF(K253="","",IF(K253=K252,"",K253))</f>
        <v/>
      </c>
      <c r="C253" s="5">
        <f>IF(L253="","",IF(L253=L252,"",L253))</f>
        <v/>
      </c>
      <c r="D253" s="6">
        <f>IF(L253="","", SUBSTITUTE(M253," Floor","") &amp; " " &amp; CHOOSE(MIN((ROW()-1)-IFERROR(INDEX(Floors!$L$2:$L$201, MATCH(ROW()-1-0.0001, Floors!$L$2:$L$201, 1)), 0), 4), "North", "South", "East", "West"))</f>
        <v/>
      </c>
      <c r="E253" s="12" t="n"/>
      <c r="F253" s="12" t="n"/>
      <c r="G253" s="12" t="n"/>
      <c r="H253" s="16" t="n"/>
      <c r="I253" s="16" t="n"/>
      <c r="J253" s="15">
        <f>IF(ROW()-1&gt;SUM(Floors!$E$2:$E$201), "", INDEX(Floors!$F$2:$F$201, IFERROR(MATCH(ROW()-1-0.0001, Floors!$L$2:$L$201, 1), 0)+1))</f>
        <v/>
      </c>
      <c r="K253" s="15">
        <f>IF(ROW()-1&gt;SUM(Floors!$E$2:$E$201), "", INDEX(Floors!$H$2:$H$201, IFERROR(MATCH(ROW()-1-0.0001, Floors!$L$2:$L$201, 1), 0)+1))</f>
        <v/>
      </c>
      <c r="L253" s="14">
        <f>IF(ROW()-1&gt;SUM(Floors!$E$2:$E$201), "", INDEX(Floors!$D$2:$D$201, IFERROR(MATCH(ROW()-1-0.0001, Floors!$L$2:$L$201, 1), 0)+1))</f>
        <v/>
      </c>
      <c r="M253" s="15">
        <f>IF(ROW()-1&gt;SUM(Floors!$E$2:$E$201), "", INDEX(Floors!$K$2:$K$201, IFERROR(MATCH(ROW()-1-0.0001, Floors!$L$2:$L$201, 1), 0)+1))</f>
        <v/>
      </c>
    </row>
    <row r="254">
      <c r="A254" s="6">
        <f>IF(J254="","",IF(J254=J253,"",J254))</f>
        <v/>
      </c>
      <c r="B254" s="6">
        <f>IF(K254="","",IF(K254=K253,"",K254))</f>
        <v/>
      </c>
      <c r="C254" s="5">
        <f>IF(L254="","",IF(L254=L253,"",L254))</f>
        <v/>
      </c>
      <c r="D254" s="6">
        <f>IF(L254="","", SUBSTITUTE(M254," Floor","") &amp; " " &amp; CHOOSE(MIN((ROW()-1)-IFERROR(INDEX(Floors!$L$2:$L$201, MATCH(ROW()-1-0.0001, Floors!$L$2:$L$201, 1)), 0), 4), "North", "South", "East", "West"))</f>
        <v/>
      </c>
      <c r="E254" s="12" t="n"/>
      <c r="F254" s="12" t="n"/>
      <c r="G254" s="12" t="n"/>
      <c r="H254" s="16" t="n"/>
      <c r="I254" s="16" t="n"/>
      <c r="J254" s="15">
        <f>IF(ROW()-1&gt;SUM(Floors!$E$2:$E$201), "", INDEX(Floors!$F$2:$F$201, IFERROR(MATCH(ROW()-1-0.0001, Floors!$L$2:$L$201, 1), 0)+1))</f>
        <v/>
      </c>
      <c r="K254" s="15">
        <f>IF(ROW()-1&gt;SUM(Floors!$E$2:$E$201), "", INDEX(Floors!$H$2:$H$201, IFERROR(MATCH(ROW()-1-0.0001, Floors!$L$2:$L$201, 1), 0)+1))</f>
        <v/>
      </c>
      <c r="L254" s="14">
        <f>IF(ROW()-1&gt;SUM(Floors!$E$2:$E$201), "", INDEX(Floors!$D$2:$D$201, IFERROR(MATCH(ROW()-1-0.0001, Floors!$L$2:$L$201, 1), 0)+1))</f>
        <v/>
      </c>
      <c r="M254" s="15">
        <f>IF(ROW()-1&gt;SUM(Floors!$E$2:$E$201), "", INDEX(Floors!$K$2:$K$201, IFERROR(MATCH(ROW()-1-0.0001, Floors!$L$2:$L$201, 1), 0)+1))</f>
        <v/>
      </c>
    </row>
    <row r="255">
      <c r="A255" s="6">
        <f>IF(J255="","",IF(J255=J254,"",J255))</f>
        <v/>
      </c>
      <c r="B255" s="6">
        <f>IF(K255="","",IF(K255=K254,"",K255))</f>
        <v/>
      </c>
      <c r="C255" s="5">
        <f>IF(L255="","",IF(L255=L254,"",L255))</f>
        <v/>
      </c>
      <c r="D255" s="6">
        <f>IF(L255="","", SUBSTITUTE(M255," Floor","") &amp; " " &amp; CHOOSE(MIN((ROW()-1)-IFERROR(INDEX(Floors!$L$2:$L$201, MATCH(ROW()-1-0.0001, Floors!$L$2:$L$201, 1)), 0), 4), "North", "South", "East", "West"))</f>
        <v/>
      </c>
      <c r="E255" s="12" t="n"/>
      <c r="F255" s="12" t="n"/>
      <c r="G255" s="12" t="n"/>
      <c r="H255" s="16" t="n"/>
      <c r="I255" s="16" t="n"/>
      <c r="J255" s="15">
        <f>IF(ROW()-1&gt;SUM(Floors!$E$2:$E$201), "", INDEX(Floors!$F$2:$F$201, IFERROR(MATCH(ROW()-1-0.0001, Floors!$L$2:$L$201, 1), 0)+1))</f>
        <v/>
      </c>
      <c r="K255" s="15">
        <f>IF(ROW()-1&gt;SUM(Floors!$E$2:$E$201), "", INDEX(Floors!$H$2:$H$201, IFERROR(MATCH(ROW()-1-0.0001, Floors!$L$2:$L$201, 1), 0)+1))</f>
        <v/>
      </c>
      <c r="L255" s="14">
        <f>IF(ROW()-1&gt;SUM(Floors!$E$2:$E$201), "", INDEX(Floors!$D$2:$D$201, IFERROR(MATCH(ROW()-1-0.0001, Floors!$L$2:$L$201, 1), 0)+1))</f>
        <v/>
      </c>
      <c r="M255" s="15">
        <f>IF(ROW()-1&gt;SUM(Floors!$E$2:$E$201), "", INDEX(Floors!$K$2:$K$201, IFERROR(MATCH(ROW()-1-0.0001, Floors!$L$2:$L$201, 1), 0)+1))</f>
        <v/>
      </c>
    </row>
    <row r="256">
      <c r="A256" s="6">
        <f>IF(J256="","",IF(J256=J255,"",J256))</f>
        <v/>
      </c>
      <c r="B256" s="6">
        <f>IF(K256="","",IF(K256=K255,"",K256))</f>
        <v/>
      </c>
      <c r="C256" s="5">
        <f>IF(L256="","",IF(L256=L255,"",L256))</f>
        <v/>
      </c>
      <c r="D256" s="6">
        <f>IF(L256="","", SUBSTITUTE(M256," Floor","") &amp; " " &amp; CHOOSE(MIN((ROW()-1)-IFERROR(INDEX(Floors!$L$2:$L$201, MATCH(ROW()-1-0.0001, Floors!$L$2:$L$201, 1)), 0), 4), "North", "South", "East", "West"))</f>
        <v/>
      </c>
      <c r="E256" s="12" t="n"/>
      <c r="F256" s="12" t="n"/>
      <c r="G256" s="12" t="n"/>
      <c r="H256" s="16" t="n"/>
      <c r="I256" s="16" t="n"/>
      <c r="J256" s="15">
        <f>IF(ROW()-1&gt;SUM(Floors!$E$2:$E$201), "", INDEX(Floors!$F$2:$F$201, IFERROR(MATCH(ROW()-1-0.0001, Floors!$L$2:$L$201, 1), 0)+1))</f>
        <v/>
      </c>
      <c r="K256" s="15">
        <f>IF(ROW()-1&gt;SUM(Floors!$E$2:$E$201), "", INDEX(Floors!$H$2:$H$201, IFERROR(MATCH(ROW()-1-0.0001, Floors!$L$2:$L$201, 1), 0)+1))</f>
        <v/>
      </c>
      <c r="L256" s="14">
        <f>IF(ROW()-1&gt;SUM(Floors!$E$2:$E$201), "", INDEX(Floors!$D$2:$D$201, IFERROR(MATCH(ROW()-1-0.0001, Floors!$L$2:$L$201, 1), 0)+1))</f>
        <v/>
      </c>
      <c r="M256" s="15">
        <f>IF(ROW()-1&gt;SUM(Floors!$E$2:$E$201), "", INDEX(Floors!$K$2:$K$201, IFERROR(MATCH(ROW()-1-0.0001, Floors!$L$2:$L$201, 1), 0)+1))</f>
        <v/>
      </c>
    </row>
    <row r="257">
      <c r="A257" s="6">
        <f>IF(J257="","",IF(J257=J256,"",J257))</f>
        <v/>
      </c>
      <c r="B257" s="6">
        <f>IF(K257="","",IF(K257=K256,"",K257))</f>
        <v/>
      </c>
      <c r="C257" s="5">
        <f>IF(L257="","",IF(L257=L256,"",L257))</f>
        <v/>
      </c>
      <c r="D257" s="6">
        <f>IF(L257="","", SUBSTITUTE(M257," Floor","") &amp; " " &amp; CHOOSE(MIN((ROW()-1)-IFERROR(INDEX(Floors!$L$2:$L$201, MATCH(ROW()-1-0.0001, Floors!$L$2:$L$201, 1)), 0), 4), "North", "South", "East", "West"))</f>
        <v/>
      </c>
      <c r="E257" s="12" t="n"/>
      <c r="F257" s="12" t="n"/>
      <c r="G257" s="12" t="n"/>
      <c r="H257" s="16" t="n"/>
      <c r="I257" s="16" t="n"/>
      <c r="J257" s="15">
        <f>IF(ROW()-1&gt;SUM(Floors!$E$2:$E$201), "", INDEX(Floors!$F$2:$F$201, IFERROR(MATCH(ROW()-1-0.0001, Floors!$L$2:$L$201, 1), 0)+1))</f>
        <v/>
      </c>
      <c r="K257" s="15">
        <f>IF(ROW()-1&gt;SUM(Floors!$E$2:$E$201), "", INDEX(Floors!$H$2:$H$201, IFERROR(MATCH(ROW()-1-0.0001, Floors!$L$2:$L$201, 1), 0)+1))</f>
        <v/>
      </c>
      <c r="L257" s="14">
        <f>IF(ROW()-1&gt;SUM(Floors!$E$2:$E$201), "", INDEX(Floors!$D$2:$D$201, IFERROR(MATCH(ROW()-1-0.0001, Floors!$L$2:$L$201, 1), 0)+1))</f>
        <v/>
      </c>
      <c r="M257" s="15">
        <f>IF(ROW()-1&gt;SUM(Floors!$E$2:$E$201), "", INDEX(Floors!$K$2:$K$201, IFERROR(MATCH(ROW()-1-0.0001, Floors!$L$2:$L$201, 1), 0)+1))</f>
        <v/>
      </c>
    </row>
    <row r="258">
      <c r="A258" s="6">
        <f>IF(J258="","",IF(J258=J257,"",J258))</f>
        <v/>
      </c>
      <c r="B258" s="6">
        <f>IF(K258="","",IF(K258=K257,"",K258))</f>
        <v/>
      </c>
      <c r="C258" s="5">
        <f>IF(L258="","",IF(L258=L257,"",L258))</f>
        <v/>
      </c>
      <c r="D258" s="6">
        <f>IF(L258="","", SUBSTITUTE(M258," Floor","") &amp; " " &amp; CHOOSE(MIN((ROW()-1)-IFERROR(INDEX(Floors!$L$2:$L$201, MATCH(ROW()-1-0.0001, Floors!$L$2:$L$201, 1)), 0), 4), "North", "South", "East", "West"))</f>
        <v/>
      </c>
      <c r="E258" s="12" t="n"/>
      <c r="F258" s="12" t="n"/>
      <c r="G258" s="12" t="n"/>
      <c r="H258" s="16" t="n"/>
      <c r="I258" s="16" t="n"/>
      <c r="J258" s="15">
        <f>IF(ROW()-1&gt;SUM(Floors!$E$2:$E$201), "", INDEX(Floors!$F$2:$F$201, IFERROR(MATCH(ROW()-1-0.0001, Floors!$L$2:$L$201, 1), 0)+1))</f>
        <v/>
      </c>
      <c r="K258" s="15">
        <f>IF(ROW()-1&gt;SUM(Floors!$E$2:$E$201), "", INDEX(Floors!$H$2:$H$201, IFERROR(MATCH(ROW()-1-0.0001, Floors!$L$2:$L$201, 1), 0)+1))</f>
        <v/>
      </c>
      <c r="L258" s="14">
        <f>IF(ROW()-1&gt;SUM(Floors!$E$2:$E$201), "", INDEX(Floors!$D$2:$D$201, IFERROR(MATCH(ROW()-1-0.0001, Floors!$L$2:$L$201, 1), 0)+1))</f>
        <v/>
      </c>
      <c r="M258" s="15">
        <f>IF(ROW()-1&gt;SUM(Floors!$E$2:$E$201), "", INDEX(Floors!$K$2:$K$201, IFERROR(MATCH(ROW()-1-0.0001, Floors!$L$2:$L$201, 1), 0)+1))</f>
        <v/>
      </c>
    </row>
    <row r="259">
      <c r="A259" s="6">
        <f>IF(J259="","",IF(J259=J258,"",J259))</f>
        <v/>
      </c>
      <c r="B259" s="6">
        <f>IF(K259="","",IF(K259=K258,"",K259))</f>
        <v/>
      </c>
      <c r="C259" s="5">
        <f>IF(L259="","",IF(L259=L258,"",L259))</f>
        <v/>
      </c>
      <c r="D259" s="6">
        <f>IF(L259="","", SUBSTITUTE(M259," Floor","") &amp; " " &amp; CHOOSE(MIN((ROW()-1)-IFERROR(INDEX(Floors!$L$2:$L$201, MATCH(ROW()-1-0.0001, Floors!$L$2:$L$201, 1)), 0), 4), "North", "South", "East", "West"))</f>
        <v/>
      </c>
      <c r="E259" s="12" t="n"/>
      <c r="F259" s="12" t="n"/>
      <c r="G259" s="12" t="n"/>
      <c r="H259" s="16" t="n"/>
      <c r="I259" s="16" t="n"/>
      <c r="J259" s="15">
        <f>IF(ROW()-1&gt;SUM(Floors!$E$2:$E$201), "", INDEX(Floors!$F$2:$F$201, IFERROR(MATCH(ROW()-1-0.0001, Floors!$L$2:$L$201, 1), 0)+1))</f>
        <v/>
      </c>
      <c r="K259" s="15">
        <f>IF(ROW()-1&gt;SUM(Floors!$E$2:$E$201), "", INDEX(Floors!$H$2:$H$201, IFERROR(MATCH(ROW()-1-0.0001, Floors!$L$2:$L$201, 1), 0)+1))</f>
        <v/>
      </c>
      <c r="L259" s="14">
        <f>IF(ROW()-1&gt;SUM(Floors!$E$2:$E$201), "", INDEX(Floors!$D$2:$D$201, IFERROR(MATCH(ROW()-1-0.0001, Floors!$L$2:$L$201, 1), 0)+1))</f>
        <v/>
      </c>
      <c r="M259" s="15">
        <f>IF(ROW()-1&gt;SUM(Floors!$E$2:$E$201), "", INDEX(Floors!$K$2:$K$201, IFERROR(MATCH(ROW()-1-0.0001, Floors!$L$2:$L$201, 1), 0)+1))</f>
        <v/>
      </c>
    </row>
    <row r="260">
      <c r="A260" s="6">
        <f>IF(J260="","",IF(J260=J259,"",J260))</f>
        <v/>
      </c>
      <c r="B260" s="6">
        <f>IF(K260="","",IF(K260=K259,"",K260))</f>
        <v/>
      </c>
      <c r="C260" s="5">
        <f>IF(L260="","",IF(L260=L259,"",L260))</f>
        <v/>
      </c>
      <c r="D260" s="6">
        <f>IF(L260="","", SUBSTITUTE(M260," Floor","") &amp; " " &amp; CHOOSE(MIN((ROW()-1)-IFERROR(INDEX(Floors!$L$2:$L$201, MATCH(ROW()-1-0.0001, Floors!$L$2:$L$201, 1)), 0), 4), "North", "South", "East", "West"))</f>
        <v/>
      </c>
      <c r="E260" s="12" t="n"/>
      <c r="F260" s="12" t="n"/>
      <c r="G260" s="12" t="n"/>
      <c r="H260" s="16" t="n"/>
      <c r="I260" s="16" t="n"/>
      <c r="J260" s="15">
        <f>IF(ROW()-1&gt;SUM(Floors!$E$2:$E$201), "", INDEX(Floors!$F$2:$F$201, IFERROR(MATCH(ROW()-1-0.0001, Floors!$L$2:$L$201, 1), 0)+1))</f>
        <v/>
      </c>
      <c r="K260" s="15">
        <f>IF(ROW()-1&gt;SUM(Floors!$E$2:$E$201), "", INDEX(Floors!$H$2:$H$201, IFERROR(MATCH(ROW()-1-0.0001, Floors!$L$2:$L$201, 1), 0)+1))</f>
        <v/>
      </c>
      <c r="L260" s="14">
        <f>IF(ROW()-1&gt;SUM(Floors!$E$2:$E$201), "", INDEX(Floors!$D$2:$D$201, IFERROR(MATCH(ROW()-1-0.0001, Floors!$L$2:$L$201, 1), 0)+1))</f>
        <v/>
      </c>
      <c r="M260" s="15">
        <f>IF(ROW()-1&gt;SUM(Floors!$E$2:$E$201), "", INDEX(Floors!$K$2:$K$201, IFERROR(MATCH(ROW()-1-0.0001, Floors!$L$2:$L$201, 1), 0)+1))</f>
        <v/>
      </c>
    </row>
    <row r="261">
      <c r="A261" s="6">
        <f>IF(J261="","",IF(J261=J260,"",J261))</f>
        <v/>
      </c>
      <c r="B261" s="6">
        <f>IF(K261="","",IF(K261=K260,"",K261))</f>
        <v/>
      </c>
      <c r="C261" s="5">
        <f>IF(L261="","",IF(L261=L260,"",L261))</f>
        <v/>
      </c>
      <c r="D261" s="6">
        <f>IF(L261="","", SUBSTITUTE(M261," Floor","") &amp; " " &amp; CHOOSE(MIN((ROW()-1)-IFERROR(INDEX(Floors!$L$2:$L$201, MATCH(ROW()-1-0.0001, Floors!$L$2:$L$201, 1)), 0), 4), "North", "South", "East", "West"))</f>
        <v/>
      </c>
      <c r="E261" s="12" t="n"/>
      <c r="F261" s="12" t="n"/>
      <c r="G261" s="12" t="n"/>
      <c r="H261" s="16" t="n"/>
      <c r="I261" s="16" t="n"/>
      <c r="J261" s="15">
        <f>IF(ROW()-1&gt;SUM(Floors!$E$2:$E$201), "", INDEX(Floors!$F$2:$F$201, IFERROR(MATCH(ROW()-1-0.0001, Floors!$L$2:$L$201, 1), 0)+1))</f>
        <v/>
      </c>
      <c r="K261" s="15">
        <f>IF(ROW()-1&gt;SUM(Floors!$E$2:$E$201), "", INDEX(Floors!$H$2:$H$201, IFERROR(MATCH(ROW()-1-0.0001, Floors!$L$2:$L$201, 1), 0)+1))</f>
        <v/>
      </c>
      <c r="L261" s="14">
        <f>IF(ROW()-1&gt;SUM(Floors!$E$2:$E$201), "", INDEX(Floors!$D$2:$D$201, IFERROR(MATCH(ROW()-1-0.0001, Floors!$L$2:$L$201, 1), 0)+1))</f>
        <v/>
      </c>
      <c r="M261" s="15">
        <f>IF(ROW()-1&gt;SUM(Floors!$E$2:$E$201), "", INDEX(Floors!$K$2:$K$201, IFERROR(MATCH(ROW()-1-0.0001, Floors!$L$2:$L$201, 1), 0)+1))</f>
        <v/>
      </c>
    </row>
    <row r="262">
      <c r="A262" s="6">
        <f>IF(J262="","",IF(J262=J261,"",J262))</f>
        <v/>
      </c>
      <c r="B262" s="6">
        <f>IF(K262="","",IF(K262=K261,"",K262))</f>
        <v/>
      </c>
      <c r="C262" s="5">
        <f>IF(L262="","",IF(L262=L261,"",L262))</f>
        <v/>
      </c>
      <c r="D262" s="6">
        <f>IF(L262="","", SUBSTITUTE(M262," Floor","") &amp; " " &amp; CHOOSE(MIN((ROW()-1)-IFERROR(INDEX(Floors!$L$2:$L$201, MATCH(ROW()-1-0.0001, Floors!$L$2:$L$201, 1)), 0), 4), "North", "South", "East", "West"))</f>
        <v/>
      </c>
      <c r="E262" s="12" t="n"/>
      <c r="F262" s="12" t="n"/>
      <c r="G262" s="12" t="n"/>
      <c r="H262" s="16" t="n"/>
      <c r="I262" s="16" t="n"/>
      <c r="J262" s="15">
        <f>IF(ROW()-1&gt;SUM(Floors!$E$2:$E$201), "", INDEX(Floors!$F$2:$F$201, IFERROR(MATCH(ROW()-1-0.0001, Floors!$L$2:$L$201, 1), 0)+1))</f>
        <v/>
      </c>
      <c r="K262" s="15">
        <f>IF(ROW()-1&gt;SUM(Floors!$E$2:$E$201), "", INDEX(Floors!$H$2:$H$201, IFERROR(MATCH(ROW()-1-0.0001, Floors!$L$2:$L$201, 1), 0)+1))</f>
        <v/>
      </c>
      <c r="L262" s="14">
        <f>IF(ROW()-1&gt;SUM(Floors!$E$2:$E$201), "", INDEX(Floors!$D$2:$D$201, IFERROR(MATCH(ROW()-1-0.0001, Floors!$L$2:$L$201, 1), 0)+1))</f>
        <v/>
      </c>
      <c r="M262" s="15">
        <f>IF(ROW()-1&gt;SUM(Floors!$E$2:$E$201), "", INDEX(Floors!$K$2:$K$201, IFERROR(MATCH(ROW()-1-0.0001, Floors!$L$2:$L$201, 1), 0)+1))</f>
        <v/>
      </c>
    </row>
    <row r="263">
      <c r="A263" s="6">
        <f>IF(J263="","",IF(J263=J262,"",J263))</f>
        <v/>
      </c>
      <c r="B263" s="6">
        <f>IF(K263="","",IF(K263=K262,"",K263))</f>
        <v/>
      </c>
      <c r="C263" s="5">
        <f>IF(L263="","",IF(L263=L262,"",L263))</f>
        <v/>
      </c>
      <c r="D263" s="6">
        <f>IF(L263="","", SUBSTITUTE(M263," Floor","") &amp; " " &amp; CHOOSE(MIN((ROW()-1)-IFERROR(INDEX(Floors!$L$2:$L$201, MATCH(ROW()-1-0.0001, Floors!$L$2:$L$201, 1)), 0), 4), "North", "South", "East", "West"))</f>
        <v/>
      </c>
      <c r="E263" s="12" t="n"/>
      <c r="F263" s="12" t="n"/>
      <c r="G263" s="12" t="n"/>
      <c r="H263" s="16" t="n"/>
      <c r="I263" s="16" t="n"/>
      <c r="J263" s="15">
        <f>IF(ROW()-1&gt;SUM(Floors!$E$2:$E$201), "", INDEX(Floors!$F$2:$F$201, IFERROR(MATCH(ROW()-1-0.0001, Floors!$L$2:$L$201, 1), 0)+1))</f>
        <v/>
      </c>
      <c r="K263" s="15">
        <f>IF(ROW()-1&gt;SUM(Floors!$E$2:$E$201), "", INDEX(Floors!$H$2:$H$201, IFERROR(MATCH(ROW()-1-0.0001, Floors!$L$2:$L$201, 1), 0)+1))</f>
        <v/>
      </c>
      <c r="L263" s="14">
        <f>IF(ROW()-1&gt;SUM(Floors!$E$2:$E$201), "", INDEX(Floors!$D$2:$D$201, IFERROR(MATCH(ROW()-1-0.0001, Floors!$L$2:$L$201, 1), 0)+1))</f>
        <v/>
      </c>
      <c r="M263" s="15">
        <f>IF(ROW()-1&gt;SUM(Floors!$E$2:$E$201), "", INDEX(Floors!$K$2:$K$201, IFERROR(MATCH(ROW()-1-0.0001, Floors!$L$2:$L$201, 1), 0)+1))</f>
        <v/>
      </c>
    </row>
    <row r="264">
      <c r="A264" s="6">
        <f>IF(J264="","",IF(J264=J263,"",J264))</f>
        <v/>
      </c>
      <c r="B264" s="6">
        <f>IF(K264="","",IF(K264=K263,"",K264))</f>
        <v/>
      </c>
      <c r="C264" s="5">
        <f>IF(L264="","",IF(L264=L263,"",L264))</f>
        <v/>
      </c>
      <c r="D264" s="6">
        <f>IF(L264="","", SUBSTITUTE(M264," Floor","") &amp; " " &amp; CHOOSE(MIN((ROW()-1)-IFERROR(INDEX(Floors!$L$2:$L$201, MATCH(ROW()-1-0.0001, Floors!$L$2:$L$201, 1)), 0), 4), "North", "South", "East", "West"))</f>
        <v/>
      </c>
      <c r="E264" s="12" t="n"/>
      <c r="F264" s="12" t="n"/>
      <c r="G264" s="12" t="n"/>
      <c r="H264" s="16" t="n"/>
      <c r="I264" s="16" t="n"/>
      <c r="J264" s="15">
        <f>IF(ROW()-1&gt;SUM(Floors!$E$2:$E$201), "", INDEX(Floors!$F$2:$F$201, IFERROR(MATCH(ROW()-1-0.0001, Floors!$L$2:$L$201, 1), 0)+1))</f>
        <v/>
      </c>
      <c r="K264" s="15">
        <f>IF(ROW()-1&gt;SUM(Floors!$E$2:$E$201), "", INDEX(Floors!$H$2:$H$201, IFERROR(MATCH(ROW()-1-0.0001, Floors!$L$2:$L$201, 1), 0)+1))</f>
        <v/>
      </c>
      <c r="L264" s="14">
        <f>IF(ROW()-1&gt;SUM(Floors!$E$2:$E$201), "", INDEX(Floors!$D$2:$D$201, IFERROR(MATCH(ROW()-1-0.0001, Floors!$L$2:$L$201, 1), 0)+1))</f>
        <v/>
      </c>
      <c r="M264" s="15">
        <f>IF(ROW()-1&gt;SUM(Floors!$E$2:$E$201), "", INDEX(Floors!$K$2:$K$201, IFERROR(MATCH(ROW()-1-0.0001, Floors!$L$2:$L$201, 1), 0)+1))</f>
        <v/>
      </c>
    </row>
    <row r="265">
      <c r="A265" s="6">
        <f>IF(J265="","",IF(J265=J264,"",J265))</f>
        <v/>
      </c>
      <c r="B265" s="6">
        <f>IF(K265="","",IF(K265=K264,"",K265))</f>
        <v/>
      </c>
      <c r="C265" s="5">
        <f>IF(L265="","",IF(L265=L264,"",L265))</f>
        <v/>
      </c>
      <c r="D265" s="6">
        <f>IF(L265="","", SUBSTITUTE(M265," Floor","") &amp; " " &amp; CHOOSE(MIN((ROW()-1)-IFERROR(INDEX(Floors!$L$2:$L$201, MATCH(ROW()-1-0.0001, Floors!$L$2:$L$201, 1)), 0), 4), "North", "South", "East", "West"))</f>
        <v/>
      </c>
      <c r="E265" s="12" t="n"/>
      <c r="F265" s="12" t="n"/>
      <c r="G265" s="12" t="n"/>
      <c r="H265" s="16" t="n"/>
      <c r="I265" s="16" t="n"/>
      <c r="J265" s="15">
        <f>IF(ROW()-1&gt;SUM(Floors!$E$2:$E$201), "", INDEX(Floors!$F$2:$F$201, IFERROR(MATCH(ROW()-1-0.0001, Floors!$L$2:$L$201, 1), 0)+1))</f>
        <v/>
      </c>
      <c r="K265" s="15">
        <f>IF(ROW()-1&gt;SUM(Floors!$E$2:$E$201), "", INDEX(Floors!$H$2:$H$201, IFERROR(MATCH(ROW()-1-0.0001, Floors!$L$2:$L$201, 1), 0)+1))</f>
        <v/>
      </c>
      <c r="L265" s="14">
        <f>IF(ROW()-1&gt;SUM(Floors!$E$2:$E$201), "", INDEX(Floors!$D$2:$D$201, IFERROR(MATCH(ROW()-1-0.0001, Floors!$L$2:$L$201, 1), 0)+1))</f>
        <v/>
      </c>
      <c r="M265" s="15">
        <f>IF(ROW()-1&gt;SUM(Floors!$E$2:$E$201), "", INDEX(Floors!$K$2:$K$201, IFERROR(MATCH(ROW()-1-0.0001, Floors!$L$2:$L$201, 1), 0)+1))</f>
        <v/>
      </c>
    </row>
    <row r="266">
      <c r="A266" s="6">
        <f>IF(J266="","",IF(J266=J265,"",J266))</f>
        <v/>
      </c>
      <c r="B266" s="6">
        <f>IF(K266="","",IF(K266=K265,"",K266))</f>
        <v/>
      </c>
      <c r="C266" s="5">
        <f>IF(L266="","",IF(L266=L265,"",L266))</f>
        <v/>
      </c>
      <c r="D266" s="6">
        <f>IF(L266="","", SUBSTITUTE(M266," Floor","") &amp; " " &amp; CHOOSE(MIN((ROW()-1)-IFERROR(INDEX(Floors!$L$2:$L$201, MATCH(ROW()-1-0.0001, Floors!$L$2:$L$201, 1)), 0), 4), "North", "South", "East", "West"))</f>
        <v/>
      </c>
      <c r="E266" s="12" t="n"/>
      <c r="F266" s="12" t="n"/>
      <c r="G266" s="12" t="n"/>
      <c r="H266" s="16" t="n"/>
      <c r="I266" s="16" t="n"/>
      <c r="J266" s="15">
        <f>IF(ROW()-1&gt;SUM(Floors!$E$2:$E$201), "", INDEX(Floors!$F$2:$F$201, IFERROR(MATCH(ROW()-1-0.0001, Floors!$L$2:$L$201, 1), 0)+1))</f>
        <v/>
      </c>
      <c r="K266" s="15">
        <f>IF(ROW()-1&gt;SUM(Floors!$E$2:$E$201), "", INDEX(Floors!$H$2:$H$201, IFERROR(MATCH(ROW()-1-0.0001, Floors!$L$2:$L$201, 1), 0)+1))</f>
        <v/>
      </c>
      <c r="L266" s="14">
        <f>IF(ROW()-1&gt;SUM(Floors!$E$2:$E$201), "", INDEX(Floors!$D$2:$D$201, IFERROR(MATCH(ROW()-1-0.0001, Floors!$L$2:$L$201, 1), 0)+1))</f>
        <v/>
      </c>
      <c r="M266" s="15">
        <f>IF(ROW()-1&gt;SUM(Floors!$E$2:$E$201), "", INDEX(Floors!$K$2:$K$201, IFERROR(MATCH(ROW()-1-0.0001, Floors!$L$2:$L$201, 1), 0)+1))</f>
        <v/>
      </c>
    </row>
    <row r="267">
      <c r="A267" s="6">
        <f>IF(J267="","",IF(J267=J266,"",J267))</f>
        <v/>
      </c>
      <c r="B267" s="6">
        <f>IF(K267="","",IF(K267=K266,"",K267))</f>
        <v/>
      </c>
      <c r="C267" s="5">
        <f>IF(L267="","",IF(L267=L266,"",L267))</f>
        <v/>
      </c>
      <c r="D267" s="6">
        <f>IF(L267="","", SUBSTITUTE(M267," Floor","") &amp; " " &amp; CHOOSE(MIN((ROW()-1)-IFERROR(INDEX(Floors!$L$2:$L$201, MATCH(ROW()-1-0.0001, Floors!$L$2:$L$201, 1)), 0), 4), "North", "South", "East", "West"))</f>
        <v/>
      </c>
      <c r="E267" s="12" t="n"/>
      <c r="F267" s="12" t="n"/>
      <c r="G267" s="12" t="n"/>
      <c r="H267" s="16" t="n"/>
      <c r="I267" s="16" t="n"/>
      <c r="J267" s="15">
        <f>IF(ROW()-1&gt;SUM(Floors!$E$2:$E$201), "", INDEX(Floors!$F$2:$F$201, IFERROR(MATCH(ROW()-1-0.0001, Floors!$L$2:$L$201, 1), 0)+1))</f>
        <v/>
      </c>
      <c r="K267" s="15">
        <f>IF(ROW()-1&gt;SUM(Floors!$E$2:$E$201), "", INDEX(Floors!$H$2:$H$201, IFERROR(MATCH(ROW()-1-0.0001, Floors!$L$2:$L$201, 1), 0)+1))</f>
        <v/>
      </c>
      <c r="L267" s="14">
        <f>IF(ROW()-1&gt;SUM(Floors!$E$2:$E$201), "", INDEX(Floors!$D$2:$D$201, IFERROR(MATCH(ROW()-1-0.0001, Floors!$L$2:$L$201, 1), 0)+1))</f>
        <v/>
      </c>
      <c r="M267" s="15">
        <f>IF(ROW()-1&gt;SUM(Floors!$E$2:$E$201), "", INDEX(Floors!$K$2:$K$201, IFERROR(MATCH(ROW()-1-0.0001, Floors!$L$2:$L$201, 1), 0)+1))</f>
        <v/>
      </c>
    </row>
    <row r="268">
      <c r="A268" s="6">
        <f>IF(J268="","",IF(J268=J267,"",J268))</f>
        <v/>
      </c>
      <c r="B268" s="6">
        <f>IF(K268="","",IF(K268=K267,"",K268))</f>
        <v/>
      </c>
      <c r="C268" s="5">
        <f>IF(L268="","",IF(L268=L267,"",L268))</f>
        <v/>
      </c>
      <c r="D268" s="6">
        <f>IF(L268="","", SUBSTITUTE(M268," Floor","") &amp; " " &amp; CHOOSE(MIN((ROW()-1)-IFERROR(INDEX(Floors!$L$2:$L$201, MATCH(ROW()-1-0.0001, Floors!$L$2:$L$201, 1)), 0), 4), "North", "South", "East", "West"))</f>
        <v/>
      </c>
      <c r="E268" s="12" t="n"/>
      <c r="F268" s="12" t="n"/>
      <c r="G268" s="12" t="n"/>
      <c r="H268" s="16" t="n"/>
      <c r="I268" s="16" t="n"/>
      <c r="J268" s="15">
        <f>IF(ROW()-1&gt;SUM(Floors!$E$2:$E$201), "", INDEX(Floors!$F$2:$F$201, IFERROR(MATCH(ROW()-1-0.0001, Floors!$L$2:$L$201, 1), 0)+1))</f>
        <v/>
      </c>
      <c r="K268" s="15">
        <f>IF(ROW()-1&gt;SUM(Floors!$E$2:$E$201), "", INDEX(Floors!$H$2:$H$201, IFERROR(MATCH(ROW()-1-0.0001, Floors!$L$2:$L$201, 1), 0)+1))</f>
        <v/>
      </c>
      <c r="L268" s="14">
        <f>IF(ROW()-1&gt;SUM(Floors!$E$2:$E$201), "", INDEX(Floors!$D$2:$D$201, IFERROR(MATCH(ROW()-1-0.0001, Floors!$L$2:$L$201, 1), 0)+1))</f>
        <v/>
      </c>
      <c r="M268" s="15">
        <f>IF(ROW()-1&gt;SUM(Floors!$E$2:$E$201), "", INDEX(Floors!$K$2:$K$201, IFERROR(MATCH(ROW()-1-0.0001, Floors!$L$2:$L$201, 1), 0)+1))</f>
        <v/>
      </c>
    </row>
    <row r="269">
      <c r="A269" s="6">
        <f>IF(J269="","",IF(J269=J268,"",J269))</f>
        <v/>
      </c>
      <c r="B269" s="6">
        <f>IF(K269="","",IF(K269=K268,"",K269))</f>
        <v/>
      </c>
      <c r="C269" s="5">
        <f>IF(L269="","",IF(L269=L268,"",L269))</f>
        <v/>
      </c>
      <c r="D269" s="6">
        <f>IF(L269="","", SUBSTITUTE(M269," Floor","") &amp; " " &amp; CHOOSE(MIN((ROW()-1)-IFERROR(INDEX(Floors!$L$2:$L$201, MATCH(ROW()-1-0.0001, Floors!$L$2:$L$201, 1)), 0), 4), "North", "South", "East", "West"))</f>
        <v/>
      </c>
      <c r="E269" s="12" t="n"/>
      <c r="F269" s="12" t="n"/>
      <c r="G269" s="12" t="n"/>
      <c r="H269" s="16" t="n"/>
      <c r="I269" s="16" t="n"/>
      <c r="J269" s="15">
        <f>IF(ROW()-1&gt;SUM(Floors!$E$2:$E$201), "", INDEX(Floors!$F$2:$F$201, IFERROR(MATCH(ROW()-1-0.0001, Floors!$L$2:$L$201, 1), 0)+1))</f>
        <v/>
      </c>
      <c r="K269" s="15">
        <f>IF(ROW()-1&gt;SUM(Floors!$E$2:$E$201), "", INDEX(Floors!$H$2:$H$201, IFERROR(MATCH(ROW()-1-0.0001, Floors!$L$2:$L$201, 1), 0)+1))</f>
        <v/>
      </c>
      <c r="L269" s="14">
        <f>IF(ROW()-1&gt;SUM(Floors!$E$2:$E$201), "", INDEX(Floors!$D$2:$D$201, IFERROR(MATCH(ROW()-1-0.0001, Floors!$L$2:$L$201, 1), 0)+1))</f>
        <v/>
      </c>
      <c r="M269" s="15">
        <f>IF(ROW()-1&gt;SUM(Floors!$E$2:$E$201), "", INDEX(Floors!$K$2:$K$201, IFERROR(MATCH(ROW()-1-0.0001, Floors!$L$2:$L$201, 1), 0)+1))</f>
        <v/>
      </c>
    </row>
    <row r="270">
      <c r="A270" s="6">
        <f>IF(J270="","",IF(J270=J269,"",J270))</f>
        <v/>
      </c>
      <c r="B270" s="6">
        <f>IF(K270="","",IF(K270=K269,"",K270))</f>
        <v/>
      </c>
      <c r="C270" s="5">
        <f>IF(L270="","",IF(L270=L269,"",L270))</f>
        <v/>
      </c>
      <c r="D270" s="6">
        <f>IF(L270="","", SUBSTITUTE(M270," Floor","") &amp; " " &amp; CHOOSE(MIN((ROW()-1)-IFERROR(INDEX(Floors!$L$2:$L$201, MATCH(ROW()-1-0.0001, Floors!$L$2:$L$201, 1)), 0), 4), "North", "South", "East", "West"))</f>
        <v/>
      </c>
      <c r="E270" s="12" t="n"/>
      <c r="F270" s="12" t="n"/>
      <c r="G270" s="12" t="n"/>
      <c r="H270" s="16" t="n"/>
      <c r="I270" s="16" t="n"/>
      <c r="J270" s="15">
        <f>IF(ROW()-1&gt;SUM(Floors!$E$2:$E$201), "", INDEX(Floors!$F$2:$F$201, IFERROR(MATCH(ROW()-1-0.0001, Floors!$L$2:$L$201, 1), 0)+1))</f>
        <v/>
      </c>
      <c r="K270" s="15">
        <f>IF(ROW()-1&gt;SUM(Floors!$E$2:$E$201), "", INDEX(Floors!$H$2:$H$201, IFERROR(MATCH(ROW()-1-0.0001, Floors!$L$2:$L$201, 1), 0)+1))</f>
        <v/>
      </c>
      <c r="L270" s="14">
        <f>IF(ROW()-1&gt;SUM(Floors!$E$2:$E$201), "", INDEX(Floors!$D$2:$D$201, IFERROR(MATCH(ROW()-1-0.0001, Floors!$L$2:$L$201, 1), 0)+1))</f>
        <v/>
      </c>
      <c r="M270" s="15">
        <f>IF(ROW()-1&gt;SUM(Floors!$E$2:$E$201), "", INDEX(Floors!$K$2:$K$201, IFERROR(MATCH(ROW()-1-0.0001, Floors!$L$2:$L$201, 1), 0)+1))</f>
        <v/>
      </c>
    </row>
    <row r="271">
      <c r="A271" s="6">
        <f>IF(J271="","",IF(J271=J270,"",J271))</f>
        <v/>
      </c>
      <c r="B271" s="6">
        <f>IF(K271="","",IF(K271=K270,"",K271))</f>
        <v/>
      </c>
      <c r="C271" s="5">
        <f>IF(L271="","",IF(L271=L270,"",L271))</f>
        <v/>
      </c>
      <c r="D271" s="6">
        <f>IF(L271="","", SUBSTITUTE(M271," Floor","") &amp; " " &amp; CHOOSE(MIN((ROW()-1)-IFERROR(INDEX(Floors!$L$2:$L$201, MATCH(ROW()-1-0.0001, Floors!$L$2:$L$201, 1)), 0), 4), "North", "South", "East", "West"))</f>
        <v/>
      </c>
      <c r="E271" s="12" t="n"/>
      <c r="F271" s="12" t="n"/>
      <c r="G271" s="12" t="n"/>
      <c r="H271" s="16" t="n"/>
      <c r="I271" s="16" t="n"/>
      <c r="J271" s="15">
        <f>IF(ROW()-1&gt;SUM(Floors!$E$2:$E$201), "", INDEX(Floors!$F$2:$F$201, IFERROR(MATCH(ROW()-1-0.0001, Floors!$L$2:$L$201, 1), 0)+1))</f>
        <v/>
      </c>
      <c r="K271" s="15">
        <f>IF(ROW()-1&gt;SUM(Floors!$E$2:$E$201), "", INDEX(Floors!$H$2:$H$201, IFERROR(MATCH(ROW()-1-0.0001, Floors!$L$2:$L$201, 1), 0)+1))</f>
        <v/>
      </c>
      <c r="L271" s="14">
        <f>IF(ROW()-1&gt;SUM(Floors!$E$2:$E$201), "", INDEX(Floors!$D$2:$D$201, IFERROR(MATCH(ROW()-1-0.0001, Floors!$L$2:$L$201, 1), 0)+1))</f>
        <v/>
      </c>
      <c r="M271" s="15">
        <f>IF(ROW()-1&gt;SUM(Floors!$E$2:$E$201), "", INDEX(Floors!$K$2:$K$201, IFERROR(MATCH(ROW()-1-0.0001, Floors!$L$2:$L$201, 1), 0)+1))</f>
        <v/>
      </c>
    </row>
    <row r="272">
      <c r="A272" s="6">
        <f>IF(J272="","",IF(J272=J271,"",J272))</f>
        <v/>
      </c>
      <c r="B272" s="6">
        <f>IF(K272="","",IF(K272=K271,"",K272))</f>
        <v/>
      </c>
      <c r="C272" s="5">
        <f>IF(L272="","",IF(L272=L271,"",L272))</f>
        <v/>
      </c>
      <c r="D272" s="6">
        <f>IF(L272="","", SUBSTITUTE(M272," Floor","") &amp; " " &amp; CHOOSE(MIN((ROW()-1)-IFERROR(INDEX(Floors!$L$2:$L$201, MATCH(ROW()-1-0.0001, Floors!$L$2:$L$201, 1)), 0), 4), "North", "South", "East", "West"))</f>
        <v/>
      </c>
      <c r="E272" s="12" t="n"/>
      <c r="F272" s="12" t="n"/>
      <c r="G272" s="12" t="n"/>
      <c r="H272" s="16" t="n"/>
      <c r="I272" s="16" t="n"/>
      <c r="J272" s="15">
        <f>IF(ROW()-1&gt;SUM(Floors!$E$2:$E$201), "", INDEX(Floors!$F$2:$F$201, IFERROR(MATCH(ROW()-1-0.0001, Floors!$L$2:$L$201, 1), 0)+1))</f>
        <v/>
      </c>
      <c r="K272" s="15">
        <f>IF(ROW()-1&gt;SUM(Floors!$E$2:$E$201), "", INDEX(Floors!$H$2:$H$201, IFERROR(MATCH(ROW()-1-0.0001, Floors!$L$2:$L$201, 1), 0)+1))</f>
        <v/>
      </c>
      <c r="L272" s="14">
        <f>IF(ROW()-1&gt;SUM(Floors!$E$2:$E$201), "", INDEX(Floors!$D$2:$D$201, IFERROR(MATCH(ROW()-1-0.0001, Floors!$L$2:$L$201, 1), 0)+1))</f>
        <v/>
      </c>
      <c r="M272" s="15">
        <f>IF(ROW()-1&gt;SUM(Floors!$E$2:$E$201), "", INDEX(Floors!$K$2:$K$201, IFERROR(MATCH(ROW()-1-0.0001, Floors!$L$2:$L$201, 1), 0)+1))</f>
        <v/>
      </c>
    </row>
    <row r="273">
      <c r="A273" s="6">
        <f>IF(J273="","",IF(J273=J272,"",J273))</f>
        <v/>
      </c>
      <c r="B273" s="6">
        <f>IF(K273="","",IF(K273=K272,"",K273))</f>
        <v/>
      </c>
      <c r="C273" s="5">
        <f>IF(L273="","",IF(L273=L272,"",L273))</f>
        <v/>
      </c>
      <c r="D273" s="6">
        <f>IF(L273="","", SUBSTITUTE(M273," Floor","") &amp; " " &amp; CHOOSE(MIN((ROW()-1)-IFERROR(INDEX(Floors!$L$2:$L$201, MATCH(ROW()-1-0.0001, Floors!$L$2:$L$201, 1)), 0), 4), "North", "South", "East", "West"))</f>
        <v/>
      </c>
      <c r="E273" s="12" t="n"/>
      <c r="F273" s="12" t="n"/>
      <c r="G273" s="12" t="n"/>
      <c r="H273" s="16" t="n"/>
      <c r="I273" s="16" t="n"/>
      <c r="J273" s="15">
        <f>IF(ROW()-1&gt;SUM(Floors!$E$2:$E$201), "", INDEX(Floors!$F$2:$F$201, IFERROR(MATCH(ROW()-1-0.0001, Floors!$L$2:$L$201, 1), 0)+1))</f>
        <v/>
      </c>
      <c r="K273" s="15">
        <f>IF(ROW()-1&gt;SUM(Floors!$E$2:$E$201), "", INDEX(Floors!$H$2:$H$201, IFERROR(MATCH(ROW()-1-0.0001, Floors!$L$2:$L$201, 1), 0)+1))</f>
        <v/>
      </c>
      <c r="L273" s="14">
        <f>IF(ROW()-1&gt;SUM(Floors!$E$2:$E$201), "", INDEX(Floors!$D$2:$D$201, IFERROR(MATCH(ROW()-1-0.0001, Floors!$L$2:$L$201, 1), 0)+1))</f>
        <v/>
      </c>
      <c r="M273" s="15">
        <f>IF(ROW()-1&gt;SUM(Floors!$E$2:$E$201), "", INDEX(Floors!$K$2:$K$201, IFERROR(MATCH(ROW()-1-0.0001, Floors!$L$2:$L$201, 1), 0)+1))</f>
        <v/>
      </c>
    </row>
    <row r="274">
      <c r="A274" s="6">
        <f>IF(J274="","",IF(J274=J273,"",J274))</f>
        <v/>
      </c>
      <c r="B274" s="6">
        <f>IF(K274="","",IF(K274=K273,"",K274))</f>
        <v/>
      </c>
      <c r="C274" s="5">
        <f>IF(L274="","",IF(L274=L273,"",L274))</f>
        <v/>
      </c>
      <c r="D274" s="6">
        <f>IF(L274="","", SUBSTITUTE(M274," Floor","") &amp; " " &amp; CHOOSE(MIN((ROW()-1)-IFERROR(INDEX(Floors!$L$2:$L$201, MATCH(ROW()-1-0.0001, Floors!$L$2:$L$201, 1)), 0), 4), "North", "South", "East", "West"))</f>
        <v/>
      </c>
      <c r="E274" s="12" t="n"/>
      <c r="F274" s="12" t="n"/>
      <c r="G274" s="12" t="n"/>
      <c r="H274" s="16" t="n"/>
      <c r="I274" s="16" t="n"/>
      <c r="J274" s="15">
        <f>IF(ROW()-1&gt;SUM(Floors!$E$2:$E$201), "", INDEX(Floors!$F$2:$F$201, IFERROR(MATCH(ROW()-1-0.0001, Floors!$L$2:$L$201, 1), 0)+1))</f>
        <v/>
      </c>
      <c r="K274" s="15">
        <f>IF(ROW()-1&gt;SUM(Floors!$E$2:$E$201), "", INDEX(Floors!$H$2:$H$201, IFERROR(MATCH(ROW()-1-0.0001, Floors!$L$2:$L$201, 1), 0)+1))</f>
        <v/>
      </c>
      <c r="L274" s="14">
        <f>IF(ROW()-1&gt;SUM(Floors!$E$2:$E$201), "", INDEX(Floors!$D$2:$D$201, IFERROR(MATCH(ROW()-1-0.0001, Floors!$L$2:$L$201, 1), 0)+1))</f>
        <v/>
      </c>
      <c r="M274" s="15">
        <f>IF(ROW()-1&gt;SUM(Floors!$E$2:$E$201), "", INDEX(Floors!$K$2:$K$201, IFERROR(MATCH(ROW()-1-0.0001, Floors!$L$2:$L$201, 1), 0)+1))</f>
        <v/>
      </c>
    </row>
    <row r="275">
      <c r="A275" s="6">
        <f>IF(J275="","",IF(J275=J274,"",J275))</f>
        <v/>
      </c>
      <c r="B275" s="6">
        <f>IF(K275="","",IF(K275=K274,"",K275))</f>
        <v/>
      </c>
      <c r="C275" s="5">
        <f>IF(L275="","",IF(L275=L274,"",L275))</f>
        <v/>
      </c>
      <c r="D275" s="6">
        <f>IF(L275="","", SUBSTITUTE(M275," Floor","") &amp; " " &amp; CHOOSE(MIN((ROW()-1)-IFERROR(INDEX(Floors!$L$2:$L$201, MATCH(ROW()-1-0.0001, Floors!$L$2:$L$201, 1)), 0), 4), "North", "South", "East", "West"))</f>
        <v/>
      </c>
      <c r="E275" s="12" t="n"/>
      <c r="F275" s="12" t="n"/>
      <c r="G275" s="12" t="n"/>
      <c r="H275" s="16" t="n"/>
      <c r="I275" s="16" t="n"/>
      <c r="J275" s="15">
        <f>IF(ROW()-1&gt;SUM(Floors!$E$2:$E$201), "", INDEX(Floors!$F$2:$F$201, IFERROR(MATCH(ROW()-1-0.0001, Floors!$L$2:$L$201, 1), 0)+1))</f>
        <v/>
      </c>
      <c r="K275" s="15">
        <f>IF(ROW()-1&gt;SUM(Floors!$E$2:$E$201), "", INDEX(Floors!$H$2:$H$201, IFERROR(MATCH(ROW()-1-0.0001, Floors!$L$2:$L$201, 1), 0)+1))</f>
        <v/>
      </c>
      <c r="L275" s="14">
        <f>IF(ROW()-1&gt;SUM(Floors!$E$2:$E$201), "", INDEX(Floors!$D$2:$D$201, IFERROR(MATCH(ROW()-1-0.0001, Floors!$L$2:$L$201, 1), 0)+1))</f>
        <v/>
      </c>
      <c r="M275" s="15">
        <f>IF(ROW()-1&gt;SUM(Floors!$E$2:$E$201), "", INDEX(Floors!$K$2:$K$201, IFERROR(MATCH(ROW()-1-0.0001, Floors!$L$2:$L$201, 1), 0)+1))</f>
        <v/>
      </c>
    </row>
    <row r="276">
      <c r="A276" s="6">
        <f>IF(J276="","",IF(J276=J275,"",J276))</f>
        <v/>
      </c>
      <c r="B276" s="6">
        <f>IF(K276="","",IF(K276=K275,"",K276))</f>
        <v/>
      </c>
      <c r="C276" s="5">
        <f>IF(L276="","",IF(L276=L275,"",L276))</f>
        <v/>
      </c>
      <c r="D276" s="6">
        <f>IF(L276="","", SUBSTITUTE(M276," Floor","") &amp; " " &amp; CHOOSE(MIN((ROW()-1)-IFERROR(INDEX(Floors!$L$2:$L$201, MATCH(ROW()-1-0.0001, Floors!$L$2:$L$201, 1)), 0), 4), "North", "South", "East", "West"))</f>
        <v/>
      </c>
      <c r="E276" s="12" t="n"/>
      <c r="F276" s="12" t="n"/>
      <c r="G276" s="12" t="n"/>
      <c r="H276" s="16" t="n"/>
      <c r="I276" s="16" t="n"/>
      <c r="J276" s="15">
        <f>IF(ROW()-1&gt;SUM(Floors!$E$2:$E$201), "", INDEX(Floors!$F$2:$F$201, IFERROR(MATCH(ROW()-1-0.0001, Floors!$L$2:$L$201, 1), 0)+1))</f>
        <v/>
      </c>
      <c r="K276" s="15">
        <f>IF(ROW()-1&gt;SUM(Floors!$E$2:$E$201), "", INDEX(Floors!$H$2:$H$201, IFERROR(MATCH(ROW()-1-0.0001, Floors!$L$2:$L$201, 1), 0)+1))</f>
        <v/>
      </c>
      <c r="L276" s="14">
        <f>IF(ROW()-1&gt;SUM(Floors!$E$2:$E$201), "", INDEX(Floors!$D$2:$D$201, IFERROR(MATCH(ROW()-1-0.0001, Floors!$L$2:$L$201, 1), 0)+1))</f>
        <v/>
      </c>
      <c r="M276" s="15">
        <f>IF(ROW()-1&gt;SUM(Floors!$E$2:$E$201), "", INDEX(Floors!$K$2:$K$201, IFERROR(MATCH(ROW()-1-0.0001, Floors!$L$2:$L$201, 1), 0)+1))</f>
        <v/>
      </c>
    </row>
    <row r="277">
      <c r="A277" s="6">
        <f>IF(J277="","",IF(J277=J276,"",J277))</f>
        <v/>
      </c>
      <c r="B277" s="6">
        <f>IF(K277="","",IF(K277=K276,"",K277))</f>
        <v/>
      </c>
      <c r="C277" s="5">
        <f>IF(L277="","",IF(L277=L276,"",L277))</f>
        <v/>
      </c>
      <c r="D277" s="6">
        <f>IF(L277="","", SUBSTITUTE(M277," Floor","") &amp; " " &amp; CHOOSE(MIN((ROW()-1)-IFERROR(INDEX(Floors!$L$2:$L$201, MATCH(ROW()-1-0.0001, Floors!$L$2:$L$201, 1)), 0), 4), "North", "South", "East", "West"))</f>
        <v/>
      </c>
      <c r="E277" s="12" t="n"/>
      <c r="F277" s="12" t="n"/>
      <c r="G277" s="12" t="n"/>
      <c r="H277" s="16" t="n"/>
      <c r="I277" s="16" t="n"/>
      <c r="J277" s="15">
        <f>IF(ROW()-1&gt;SUM(Floors!$E$2:$E$201), "", INDEX(Floors!$F$2:$F$201, IFERROR(MATCH(ROW()-1-0.0001, Floors!$L$2:$L$201, 1), 0)+1))</f>
        <v/>
      </c>
      <c r="K277" s="15">
        <f>IF(ROW()-1&gt;SUM(Floors!$E$2:$E$201), "", INDEX(Floors!$H$2:$H$201, IFERROR(MATCH(ROW()-1-0.0001, Floors!$L$2:$L$201, 1), 0)+1))</f>
        <v/>
      </c>
      <c r="L277" s="14">
        <f>IF(ROW()-1&gt;SUM(Floors!$E$2:$E$201), "", INDEX(Floors!$D$2:$D$201, IFERROR(MATCH(ROW()-1-0.0001, Floors!$L$2:$L$201, 1), 0)+1))</f>
        <v/>
      </c>
      <c r="M277" s="15">
        <f>IF(ROW()-1&gt;SUM(Floors!$E$2:$E$201), "", INDEX(Floors!$K$2:$K$201, IFERROR(MATCH(ROW()-1-0.0001, Floors!$L$2:$L$201, 1), 0)+1))</f>
        <v/>
      </c>
    </row>
    <row r="278">
      <c r="A278" s="6">
        <f>IF(J278="","",IF(J278=J277,"",J278))</f>
        <v/>
      </c>
      <c r="B278" s="6">
        <f>IF(K278="","",IF(K278=K277,"",K278))</f>
        <v/>
      </c>
      <c r="C278" s="5">
        <f>IF(L278="","",IF(L278=L277,"",L278))</f>
        <v/>
      </c>
      <c r="D278" s="6">
        <f>IF(L278="","", SUBSTITUTE(M278," Floor","") &amp; " " &amp; CHOOSE(MIN((ROW()-1)-IFERROR(INDEX(Floors!$L$2:$L$201, MATCH(ROW()-1-0.0001, Floors!$L$2:$L$201, 1)), 0), 4), "North", "South", "East", "West"))</f>
        <v/>
      </c>
      <c r="E278" s="12" t="n"/>
      <c r="F278" s="12" t="n"/>
      <c r="G278" s="12" t="n"/>
      <c r="H278" s="16" t="n"/>
      <c r="I278" s="16" t="n"/>
      <c r="J278" s="15">
        <f>IF(ROW()-1&gt;SUM(Floors!$E$2:$E$201), "", INDEX(Floors!$F$2:$F$201, IFERROR(MATCH(ROW()-1-0.0001, Floors!$L$2:$L$201, 1), 0)+1))</f>
        <v/>
      </c>
      <c r="K278" s="15">
        <f>IF(ROW()-1&gt;SUM(Floors!$E$2:$E$201), "", INDEX(Floors!$H$2:$H$201, IFERROR(MATCH(ROW()-1-0.0001, Floors!$L$2:$L$201, 1), 0)+1))</f>
        <v/>
      </c>
      <c r="L278" s="14">
        <f>IF(ROW()-1&gt;SUM(Floors!$E$2:$E$201), "", INDEX(Floors!$D$2:$D$201, IFERROR(MATCH(ROW()-1-0.0001, Floors!$L$2:$L$201, 1), 0)+1))</f>
        <v/>
      </c>
      <c r="M278" s="15">
        <f>IF(ROW()-1&gt;SUM(Floors!$E$2:$E$201), "", INDEX(Floors!$K$2:$K$201, IFERROR(MATCH(ROW()-1-0.0001, Floors!$L$2:$L$201, 1), 0)+1))</f>
        <v/>
      </c>
    </row>
    <row r="279">
      <c r="A279" s="6">
        <f>IF(J279="","",IF(J279=J278,"",J279))</f>
        <v/>
      </c>
      <c r="B279" s="6">
        <f>IF(K279="","",IF(K279=K278,"",K279))</f>
        <v/>
      </c>
      <c r="C279" s="5">
        <f>IF(L279="","",IF(L279=L278,"",L279))</f>
        <v/>
      </c>
      <c r="D279" s="6">
        <f>IF(L279="","", SUBSTITUTE(M279," Floor","") &amp; " " &amp; CHOOSE(MIN((ROW()-1)-IFERROR(INDEX(Floors!$L$2:$L$201, MATCH(ROW()-1-0.0001, Floors!$L$2:$L$201, 1)), 0), 4), "North", "South", "East", "West"))</f>
        <v/>
      </c>
      <c r="E279" s="12" t="n"/>
      <c r="F279" s="12" t="n"/>
      <c r="G279" s="12" t="n"/>
      <c r="H279" s="16" t="n"/>
      <c r="I279" s="16" t="n"/>
      <c r="J279" s="15">
        <f>IF(ROW()-1&gt;SUM(Floors!$E$2:$E$201), "", INDEX(Floors!$F$2:$F$201, IFERROR(MATCH(ROW()-1-0.0001, Floors!$L$2:$L$201, 1), 0)+1))</f>
        <v/>
      </c>
      <c r="K279" s="15">
        <f>IF(ROW()-1&gt;SUM(Floors!$E$2:$E$201), "", INDEX(Floors!$H$2:$H$201, IFERROR(MATCH(ROW()-1-0.0001, Floors!$L$2:$L$201, 1), 0)+1))</f>
        <v/>
      </c>
      <c r="L279" s="14">
        <f>IF(ROW()-1&gt;SUM(Floors!$E$2:$E$201), "", INDEX(Floors!$D$2:$D$201, IFERROR(MATCH(ROW()-1-0.0001, Floors!$L$2:$L$201, 1), 0)+1))</f>
        <v/>
      </c>
      <c r="M279" s="15">
        <f>IF(ROW()-1&gt;SUM(Floors!$E$2:$E$201), "", INDEX(Floors!$K$2:$K$201, IFERROR(MATCH(ROW()-1-0.0001, Floors!$L$2:$L$201, 1), 0)+1))</f>
        <v/>
      </c>
    </row>
    <row r="280">
      <c r="A280" s="6">
        <f>IF(J280="","",IF(J280=J279,"",J280))</f>
        <v/>
      </c>
      <c r="B280" s="6">
        <f>IF(K280="","",IF(K280=K279,"",K280))</f>
        <v/>
      </c>
      <c r="C280" s="5">
        <f>IF(L280="","",IF(L280=L279,"",L280))</f>
        <v/>
      </c>
      <c r="D280" s="6">
        <f>IF(L280="","", SUBSTITUTE(M280," Floor","") &amp; " " &amp; CHOOSE(MIN((ROW()-1)-IFERROR(INDEX(Floors!$L$2:$L$201, MATCH(ROW()-1-0.0001, Floors!$L$2:$L$201, 1)), 0), 4), "North", "South", "East", "West"))</f>
        <v/>
      </c>
      <c r="E280" s="12" t="n"/>
      <c r="F280" s="12" t="n"/>
      <c r="G280" s="12" t="n"/>
      <c r="H280" s="16" t="n"/>
      <c r="I280" s="16" t="n"/>
      <c r="J280" s="15">
        <f>IF(ROW()-1&gt;SUM(Floors!$E$2:$E$201), "", INDEX(Floors!$F$2:$F$201, IFERROR(MATCH(ROW()-1-0.0001, Floors!$L$2:$L$201, 1), 0)+1))</f>
        <v/>
      </c>
      <c r="K280" s="15">
        <f>IF(ROW()-1&gt;SUM(Floors!$E$2:$E$201), "", INDEX(Floors!$H$2:$H$201, IFERROR(MATCH(ROW()-1-0.0001, Floors!$L$2:$L$201, 1), 0)+1))</f>
        <v/>
      </c>
      <c r="L280" s="14">
        <f>IF(ROW()-1&gt;SUM(Floors!$E$2:$E$201), "", INDEX(Floors!$D$2:$D$201, IFERROR(MATCH(ROW()-1-0.0001, Floors!$L$2:$L$201, 1), 0)+1))</f>
        <v/>
      </c>
      <c r="M280" s="15">
        <f>IF(ROW()-1&gt;SUM(Floors!$E$2:$E$201), "", INDEX(Floors!$K$2:$K$201, IFERROR(MATCH(ROW()-1-0.0001, Floors!$L$2:$L$201, 1), 0)+1))</f>
        <v/>
      </c>
    </row>
    <row r="281">
      <c r="A281" s="6">
        <f>IF(J281="","",IF(J281=J280,"",J281))</f>
        <v/>
      </c>
      <c r="B281" s="6">
        <f>IF(K281="","",IF(K281=K280,"",K281))</f>
        <v/>
      </c>
      <c r="C281" s="5">
        <f>IF(L281="","",IF(L281=L280,"",L281))</f>
        <v/>
      </c>
      <c r="D281" s="6">
        <f>IF(L281="","", SUBSTITUTE(M281," Floor","") &amp; " " &amp; CHOOSE(MIN((ROW()-1)-IFERROR(INDEX(Floors!$L$2:$L$201, MATCH(ROW()-1-0.0001, Floors!$L$2:$L$201, 1)), 0), 4), "North", "South", "East", "West"))</f>
        <v/>
      </c>
      <c r="E281" s="12" t="n"/>
      <c r="F281" s="12" t="n"/>
      <c r="G281" s="12" t="n"/>
      <c r="H281" s="16" t="n"/>
      <c r="I281" s="16" t="n"/>
      <c r="J281" s="15">
        <f>IF(ROW()-1&gt;SUM(Floors!$E$2:$E$201), "", INDEX(Floors!$F$2:$F$201, IFERROR(MATCH(ROW()-1-0.0001, Floors!$L$2:$L$201, 1), 0)+1))</f>
        <v/>
      </c>
      <c r="K281" s="15">
        <f>IF(ROW()-1&gt;SUM(Floors!$E$2:$E$201), "", INDEX(Floors!$H$2:$H$201, IFERROR(MATCH(ROW()-1-0.0001, Floors!$L$2:$L$201, 1), 0)+1))</f>
        <v/>
      </c>
      <c r="L281" s="14">
        <f>IF(ROW()-1&gt;SUM(Floors!$E$2:$E$201), "", INDEX(Floors!$D$2:$D$201, IFERROR(MATCH(ROW()-1-0.0001, Floors!$L$2:$L$201, 1), 0)+1))</f>
        <v/>
      </c>
      <c r="M281" s="15">
        <f>IF(ROW()-1&gt;SUM(Floors!$E$2:$E$201), "", INDEX(Floors!$K$2:$K$201, IFERROR(MATCH(ROW()-1-0.0001, Floors!$L$2:$L$201, 1), 0)+1))</f>
        <v/>
      </c>
    </row>
    <row r="282">
      <c r="A282" s="6">
        <f>IF(J282="","",IF(J282=J281,"",J282))</f>
        <v/>
      </c>
      <c r="B282" s="6">
        <f>IF(K282="","",IF(K282=K281,"",K282))</f>
        <v/>
      </c>
      <c r="C282" s="5">
        <f>IF(L282="","",IF(L282=L281,"",L282))</f>
        <v/>
      </c>
      <c r="D282" s="6">
        <f>IF(L282="","", SUBSTITUTE(M282," Floor","") &amp; " " &amp; CHOOSE(MIN((ROW()-1)-IFERROR(INDEX(Floors!$L$2:$L$201, MATCH(ROW()-1-0.0001, Floors!$L$2:$L$201, 1)), 0), 4), "North", "South", "East", "West"))</f>
        <v/>
      </c>
      <c r="E282" s="12" t="n"/>
      <c r="F282" s="12" t="n"/>
      <c r="G282" s="12" t="n"/>
      <c r="H282" s="16" t="n"/>
      <c r="I282" s="16" t="n"/>
      <c r="J282" s="15">
        <f>IF(ROW()-1&gt;SUM(Floors!$E$2:$E$201), "", INDEX(Floors!$F$2:$F$201, IFERROR(MATCH(ROW()-1-0.0001, Floors!$L$2:$L$201, 1), 0)+1))</f>
        <v/>
      </c>
      <c r="K282" s="15">
        <f>IF(ROW()-1&gt;SUM(Floors!$E$2:$E$201), "", INDEX(Floors!$H$2:$H$201, IFERROR(MATCH(ROW()-1-0.0001, Floors!$L$2:$L$201, 1), 0)+1))</f>
        <v/>
      </c>
      <c r="L282" s="14">
        <f>IF(ROW()-1&gt;SUM(Floors!$E$2:$E$201), "", INDEX(Floors!$D$2:$D$201, IFERROR(MATCH(ROW()-1-0.0001, Floors!$L$2:$L$201, 1), 0)+1))</f>
        <v/>
      </c>
      <c r="M282" s="15">
        <f>IF(ROW()-1&gt;SUM(Floors!$E$2:$E$201), "", INDEX(Floors!$K$2:$K$201, IFERROR(MATCH(ROW()-1-0.0001, Floors!$L$2:$L$201, 1), 0)+1))</f>
        <v/>
      </c>
    </row>
    <row r="283">
      <c r="A283" s="6">
        <f>IF(J283="","",IF(J283=J282,"",J283))</f>
        <v/>
      </c>
      <c r="B283" s="6">
        <f>IF(K283="","",IF(K283=K282,"",K283))</f>
        <v/>
      </c>
      <c r="C283" s="5">
        <f>IF(L283="","",IF(L283=L282,"",L283))</f>
        <v/>
      </c>
      <c r="D283" s="6">
        <f>IF(L283="","", SUBSTITUTE(M283," Floor","") &amp; " " &amp; CHOOSE(MIN((ROW()-1)-IFERROR(INDEX(Floors!$L$2:$L$201, MATCH(ROW()-1-0.0001, Floors!$L$2:$L$201, 1)), 0), 4), "North", "South", "East", "West"))</f>
        <v/>
      </c>
      <c r="E283" s="12" t="n"/>
      <c r="F283" s="12" t="n"/>
      <c r="G283" s="12" t="n"/>
      <c r="H283" s="16" t="n"/>
      <c r="I283" s="16" t="n"/>
      <c r="J283" s="15">
        <f>IF(ROW()-1&gt;SUM(Floors!$E$2:$E$201), "", INDEX(Floors!$F$2:$F$201, IFERROR(MATCH(ROW()-1-0.0001, Floors!$L$2:$L$201, 1), 0)+1))</f>
        <v/>
      </c>
      <c r="K283" s="15">
        <f>IF(ROW()-1&gt;SUM(Floors!$E$2:$E$201), "", INDEX(Floors!$H$2:$H$201, IFERROR(MATCH(ROW()-1-0.0001, Floors!$L$2:$L$201, 1), 0)+1))</f>
        <v/>
      </c>
      <c r="L283" s="14">
        <f>IF(ROW()-1&gt;SUM(Floors!$E$2:$E$201), "", INDEX(Floors!$D$2:$D$201, IFERROR(MATCH(ROW()-1-0.0001, Floors!$L$2:$L$201, 1), 0)+1))</f>
        <v/>
      </c>
      <c r="M283" s="15">
        <f>IF(ROW()-1&gt;SUM(Floors!$E$2:$E$201), "", INDEX(Floors!$K$2:$K$201, IFERROR(MATCH(ROW()-1-0.0001, Floors!$L$2:$L$201, 1), 0)+1))</f>
        <v/>
      </c>
    </row>
    <row r="284">
      <c r="A284" s="6">
        <f>IF(J284="","",IF(J284=J283,"",J284))</f>
        <v/>
      </c>
      <c r="B284" s="6">
        <f>IF(K284="","",IF(K284=K283,"",K284))</f>
        <v/>
      </c>
      <c r="C284" s="5">
        <f>IF(L284="","",IF(L284=L283,"",L284))</f>
        <v/>
      </c>
      <c r="D284" s="6">
        <f>IF(L284="","", SUBSTITUTE(M284," Floor","") &amp; " " &amp; CHOOSE(MIN((ROW()-1)-IFERROR(INDEX(Floors!$L$2:$L$201, MATCH(ROW()-1-0.0001, Floors!$L$2:$L$201, 1)), 0), 4), "North", "South", "East", "West"))</f>
        <v/>
      </c>
      <c r="E284" s="12" t="n"/>
      <c r="F284" s="12" t="n"/>
      <c r="G284" s="12" t="n"/>
      <c r="H284" s="16" t="n"/>
      <c r="I284" s="16" t="n"/>
      <c r="J284" s="15">
        <f>IF(ROW()-1&gt;SUM(Floors!$E$2:$E$201), "", INDEX(Floors!$F$2:$F$201, IFERROR(MATCH(ROW()-1-0.0001, Floors!$L$2:$L$201, 1), 0)+1))</f>
        <v/>
      </c>
      <c r="K284" s="15">
        <f>IF(ROW()-1&gt;SUM(Floors!$E$2:$E$201), "", INDEX(Floors!$H$2:$H$201, IFERROR(MATCH(ROW()-1-0.0001, Floors!$L$2:$L$201, 1), 0)+1))</f>
        <v/>
      </c>
      <c r="L284" s="14">
        <f>IF(ROW()-1&gt;SUM(Floors!$E$2:$E$201), "", INDEX(Floors!$D$2:$D$201, IFERROR(MATCH(ROW()-1-0.0001, Floors!$L$2:$L$201, 1), 0)+1))</f>
        <v/>
      </c>
      <c r="M284" s="15">
        <f>IF(ROW()-1&gt;SUM(Floors!$E$2:$E$201), "", INDEX(Floors!$K$2:$K$201, IFERROR(MATCH(ROW()-1-0.0001, Floors!$L$2:$L$201, 1), 0)+1))</f>
        <v/>
      </c>
    </row>
    <row r="285">
      <c r="A285" s="6">
        <f>IF(J285="","",IF(J285=J284,"",J285))</f>
        <v/>
      </c>
      <c r="B285" s="6">
        <f>IF(K285="","",IF(K285=K284,"",K285))</f>
        <v/>
      </c>
      <c r="C285" s="5">
        <f>IF(L285="","",IF(L285=L284,"",L285))</f>
        <v/>
      </c>
      <c r="D285" s="6">
        <f>IF(L285="","", SUBSTITUTE(M285," Floor","") &amp; " " &amp; CHOOSE(MIN((ROW()-1)-IFERROR(INDEX(Floors!$L$2:$L$201, MATCH(ROW()-1-0.0001, Floors!$L$2:$L$201, 1)), 0), 4), "North", "South", "East", "West"))</f>
        <v/>
      </c>
      <c r="E285" s="12" t="n"/>
      <c r="F285" s="12" t="n"/>
      <c r="G285" s="12" t="n"/>
      <c r="H285" s="16" t="n"/>
      <c r="I285" s="16" t="n"/>
      <c r="J285" s="15">
        <f>IF(ROW()-1&gt;SUM(Floors!$E$2:$E$201), "", INDEX(Floors!$F$2:$F$201, IFERROR(MATCH(ROW()-1-0.0001, Floors!$L$2:$L$201, 1), 0)+1))</f>
        <v/>
      </c>
      <c r="K285" s="15">
        <f>IF(ROW()-1&gt;SUM(Floors!$E$2:$E$201), "", INDEX(Floors!$H$2:$H$201, IFERROR(MATCH(ROW()-1-0.0001, Floors!$L$2:$L$201, 1), 0)+1))</f>
        <v/>
      </c>
      <c r="L285" s="14">
        <f>IF(ROW()-1&gt;SUM(Floors!$E$2:$E$201), "", INDEX(Floors!$D$2:$D$201, IFERROR(MATCH(ROW()-1-0.0001, Floors!$L$2:$L$201, 1), 0)+1))</f>
        <v/>
      </c>
      <c r="M285" s="15">
        <f>IF(ROW()-1&gt;SUM(Floors!$E$2:$E$201), "", INDEX(Floors!$K$2:$K$201, IFERROR(MATCH(ROW()-1-0.0001, Floors!$L$2:$L$201, 1), 0)+1))</f>
        <v/>
      </c>
    </row>
    <row r="286">
      <c r="A286" s="6">
        <f>IF(J286="","",IF(J286=J285,"",J286))</f>
        <v/>
      </c>
      <c r="B286" s="6">
        <f>IF(K286="","",IF(K286=K285,"",K286))</f>
        <v/>
      </c>
      <c r="C286" s="5">
        <f>IF(L286="","",IF(L286=L285,"",L286))</f>
        <v/>
      </c>
      <c r="D286" s="6">
        <f>IF(L286="","", SUBSTITUTE(M286," Floor","") &amp; " " &amp; CHOOSE(MIN((ROW()-1)-IFERROR(INDEX(Floors!$L$2:$L$201, MATCH(ROW()-1-0.0001, Floors!$L$2:$L$201, 1)), 0), 4), "North", "South", "East", "West"))</f>
        <v/>
      </c>
      <c r="E286" s="12" t="n"/>
      <c r="F286" s="12" t="n"/>
      <c r="G286" s="12" t="n"/>
      <c r="H286" s="16" t="n"/>
      <c r="I286" s="16" t="n"/>
      <c r="J286" s="15">
        <f>IF(ROW()-1&gt;SUM(Floors!$E$2:$E$201), "", INDEX(Floors!$F$2:$F$201, IFERROR(MATCH(ROW()-1-0.0001, Floors!$L$2:$L$201, 1), 0)+1))</f>
        <v/>
      </c>
      <c r="K286" s="15">
        <f>IF(ROW()-1&gt;SUM(Floors!$E$2:$E$201), "", INDEX(Floors!$H$2:$H$201, IFERROR(MATCH(ROW()-1-0.0001, Floors!$L$2:$L$201, 1), 0)+1))</f>
        <v/>
      </c>
      <c r="L286" s="14">
        <f>IF(ROW()-1&gt;SUM(Floors!$E$2:$E$201), "", INDEX(Floors!$D$2:$D$201, IFERROR(MATCH(ROW()-1-0.0001, Floors!$L$2:$L$201, 1), 0)+1))</f>
        <v/>
      </c>
      <c r="M286" s="15">
        <f>IF(ROW()-1&gt;SUM(Floors!$E$2:$E$201), "", INDEX(Floors!$K$2:$K$201, IFERROR(MATCH(ROW()-1-0.0001, Floors!$L$2:$L$201, 1), 0)+1))</f>
        <v/>
      </c>
    </row>
    <row r="287">
      <c r="A287" s="6">
        <f>IF(J287="","",IF(J287=J286,"",J287))</f>
        <v/>
      </c>
      <c r="B287" s="6">
        <f>IF(K287="","",IF(K287=K286,"",K287))</f>
        <v/>
      </c>
      <c r="C287" s="5">
        <f>IF(L287="","",IF(L287=L286,"",L287))</f>
        <v/>
      </c>
      <c r="D287" s="6">
        <f>IF(L287="","", SUBSTITUTE(M287," Floor","") &amp; " " &amp; CHOOSE(MIN((ROW()-1)-IFERROR(INDEX(Floors!$L$2:$L$201, MATCH(ROW()-1-0.0001, Floors!$L$2:$L$201, 1)), 0), 4), "North", "South", "East", "West"))</f>
        <v/>
      </c>
      <c r="E287" s="12" t="n"/>
      <c r="F287" s="12" t="n"/>
      <c r="G287" s="12" t="n"/>
      <c r="H287" s="16" t="n"/>
      <c r="I287" s="16" t="n"/>
      <c r="J287" s="15">
        <f>IF(ROW()-1&gt;SUM(Floors!$E$2:$E$201), "", INDEX(Floors!$F$2:$F$201, IFERROR(MATCH(ROW()-1-0.0001, Floors!$L$2:$L$201, 1), 0)+1))</f>
        <v/>
      </c>
      <c r="K287" s="15">
        <f>IF(ROW()-1&gt;SUM(Floors!$E$2:$E$201), "", INDEX(Floors!$H$2:$H$201, IFERROR(MATCH(ROW()-1-0.0001, Floors!$L$2:$L$201, 1), 0)+1))</f>
        <v/>
      </c>
      <c r="L287" s="14">
        <f>IF(ROW()-1&gt;SUM(Floors!$E$2:$E$201), "", INDEX(Floors!$D$2:$D$201, IFERROR(MATCH(ROW()-1-0.0001, Floors!$L$2:$L$201, 1), 0)+1))</f>
        <v/>
      </c>
      <c r="M287" s="15">
        <f>IF(ROW()-1&gt;SUM(Floors!$E$2:$E$201), "", INDEX(Floors!$K$2:$K$201, IFERROR(MATCH(ROW()-1-0.0001, Floors!$L$2:$L$201, 1), 0)+1))</f>
        <v/>
      </c>
    </row>
    <row r="288">
      <c r="A288" s="6">
        <f>IF(J288="","",IF(J288=J287,"",J288))</f>
        <v/>
      </c>
      <c r="B288" s="6">
        <f>IF(K288="","",IF(K288=K287,"",K288))</f>
        <v/>
      </c>
      <c r="C288" s="5">
        <f>IF(L288="","",IF(L288=L287,"",L288))</f>
        <v/>
      </c>
      <c r="D288" s="6">
        <f>IF(L288="","", SUBSTITUTE(M288," Floor","") &amp; " " &amp; CHOOSE(MIN((ROW()-1)-IFERROR(INDEX(Floors!$L$2:$L$201, MATCH(ROW()-1-0.0001, Floors!$L$2:$L$201, 1)), 0), 4), "North", "South", "East", "West"))</f>
        <v/>
      </c>
      <c r="E288" s="12" t="n"/>
      <c r="F288" s="12" t="n"/>
      <c r="G288" s="12" t="n"/>
      <c r="H288" s="16" t="n"/>
      <c r="I288" s="16" t="n"/>
      <c r="J288" s="15">
        <f>IF(ROW()-1&gt;SUM(Floors!$E$2:$E$201), "", INDEX(Floors!$F$2:$F$201, IFERROR(MATCH(ROW()-1-0.0001, Floors!$L$2:$L$201, 1), 0)+1))</f>
        <v/>
      </c>
      <c r="K288" s="15">
        <f>IF(ROW()-1&gt;SUM(Floors!$E$2:$E$201), "", INDEX(Floors!$H$2:$H$201, IFERROR(MATCH(ROW()-1-0.0001, Floors!$L$2:$L$201, 1), 0)+1))</f>
        <v/>
      </c>
      <c r="L288" s="14">
        <f>IF(ROW()-1&gt;SUM(Floors!$E$2:$E$201), "", INDEX(Floors!$D$2:$D$201, IFERROR(MATCH(ROW()-1-0.0001, Floors!$L$2:$L$201, 1), 0)+1))</f>
        <v/>
      </c>
      <c r="M288" s="15">
        <f>IF(ROW()-1&gt;SUM(Floors!$E$2:$E$201), "", INDEX(Floors!$K$2:$K$201, IFERROR(MATCH(ROW()-1-0.0001, Floors!$L$2:$L$201, 1), 0)+1))</f>
        <v/>
      </c>
    </row>
    <row r="289">
      <c r="A289" s="6">
        <f>IF(J289="","",IF(J289=J288,"",J289))</f>
        <v/>
      </c>
      <c r="B289" s="6">
        <f>IF(K289="","",IF(K289=K288,"",K289))</f>
        <v/>
      </c>
      <c r="C289" s="5">
        <f>IF(L289="","",IF(L289=L288,"",L289))</f>
        <v/>
      </c>
      <c r="D289" s="6">
        <f>IF(L289="","", SUBSTITUTE(M289," Floor","") &amp; " " &amp; CHOOSE(MIN((ROW()-1)-IFERROR(INDEX(Floors!$L$2:$L$201, MATCH(ROW()-1-0.0001, Floors!$L$2:$L$201, 1)), 0), 4), "North", "South", "East", "West"))</f>
        <v/>
      </c>
      <c r="E289" s="12" t="n"/>
      <c r="F289" s="12" t="n"/>
      <c r="G289" s="12" t="n"/>
      <c r="H289" s="16" t="n"/>
      <c r="I289" s="16" t="n"/>
      <c r="J289" s="15">
        <f>IF(ROW()-1&gt;SUM(Floors!$E$2:$E$201), "", INDEX(Floors!$F$2:$F$201, IFERROR(MATCH(ROW()-1-0.0001, Floors!$L$2:$L$201, 1), 0)+1))</f>
        <v/>
      </c>
      <c r="K289" s="15">
        <f>IF(ROW()-1&gt;SUM(Floors!$E$2:$E$201), "", INDEX(Floors!$H$2:$H$201, IFERROR(MATCH(ROW()-1-0.0001, Floors!$L$2:$L$201, 1), 0)+1))</f>
        <v/>
      </c>
      <c r="L289" s="14">
        <f>IF(ROW()-1&gt;SUM(Floors!$E$2:$E$201), "", INDEX(Floors!$D$2:$D$201, IFERROR(MATCH(ROW()-1-0.0001, Floors!$L$2:$L$201, 1), 0)+1))</f>
        <v/>
      </c>
      <c r="M289" s="15">
        <f>IF(ROW()-1&gt;SUM(Floors!$E$2:$E$201), "", INDEX(Floors!$K$2:$K$201, IFERROR(MATCH(ROW()-1-0.0001, Floors!$L$2:$L$201, 1), 0)+1))</f>
        <v/>
      </c>
    </row>
    <row r="290">
      <c r="A290" s="6">
        <f>IF(J290="","",IF(J290=J289,"",J290))</f>
        <v/>
      </c>
      <c r="B290" s="6">
        <f>IF(K290="","",IF(K290=K289,"",K290))</f>
        <v/>
      </c>
      <c r="C290" s="5">
        <f>IF(L290="","",IF(L290=L289,"",L290))</f>
        <v/>
      </c>
      <c r="D290" s="6">
        <f>IF(L290="","", SUBSTITUTE(M290," Floor","") &amp; " " &amp; CHOOSE(MIN((ROW()-1)-IFERROR(INDEX(Floors!$L$2:$L$201, MATCH(ROW()-1-0.0001, Floors!$L$2:$L$201, 1)), 0), 4), "North", "South", "East", "West"))</f>
        <v/>
      </c>
      <c r="E290" s="12" t="n"/>
      <c r="F290" s="12" t="n"/>
      <c r="G290" s="12" t="n"/>
      <c r="H290" s="16" t="n"/>
      <c r="I290" s="16" t="n"/>
      <c r="J290" s="15">
        <f>IF(ROW()-1&gt;SUM(Floors!$E$2:$E$201), "", INDEX(Floors!$F$2:$F$201, IFERROR(MATCH(ROW()-1-0.0001, Floors!$L$2:$L$201, 1), 0)+1))</f>
        <v/>
      </c>
      <c r="K290" s="15">
        <f>IF(ROW()-1&gt;SUM(Floors!$E$2:$E$201), "", INDEX(Floors!$H$2:$H$201, IFERROR(MATCH(ROW()-1-0.0001, Floors!$L$2:$L$201, 1), 0)+1))</f>
        <v/>
      </c>
      <c r="L290" s="14">
        <f>IF(ROW()-1&gt;SUM(Floors!$E$2:$E$201), "", INDEX(Floors!$D$2:$D$201, IFERROR(MATCH(ROW()-1-0.0001, Floors!$L$2:$L$201, 1), 0)+1))</f>
        <v/>
      </c>
      <c r="M290" s="15">
        <f>IF(ROW()-1&gt;SUM(Floors!$E$2:$E$201), "", INDEX(Floors!$K$2:$K$201, IFERROR(MATCH(ROW()-1-0.0001, Floors!$L$2:$L$201, 1), 0)+1))</f>
        <v/>
      </c>
    </row>
    <row r="291">
      <c r="A291" s="6">
        <f>IF(J291="","",IF(J291=J290,"",J291))</f>
        <v/>
      </c>
      <c r="B291" s="6">
        <f>IF(K291="","",IF(K291=K290,"",K291))</f>
        <v/>
      </c>
      <c r="C291" s="5">
        <f>IF(L291="","",IF(L291=L290,"",L291))</f>
        <v/>
      </c>
      <c r="D291" s="6">
        <f>IF(L291="","", SUBSTITUTE(M291," Floor","") &amp; " " &amp; CHOOSE(MIN((ROW()-1)-IFERROR(INDEX(Floors!$L$2:$L$201, MATCH(ROW()-1-0.0001, Floors!$L$2:$L$201, 1)), 0), 4), "North", "South", "East", "West"))</f>
        <v/>
      </c>
      <c r="E291" s="12" t="n"/>
      <c r="F291" s="12" t="n"/>
      <c r="G291" s="12" t="n"/>
      <c r="H291" s="16" t="n"/>
      <c r="I291" s="16" t="n"/>
      <c r="J291" s="15">
        <f>IF(ROW()-1&gt;SUM(Floors!$E$2:$E$201), "", INDEX(Floors!$F$2:$F$201, IFERROR(MATCH(ROW()-1-0.0001, Floors!$L$2:$L$201, 1), 0)+1))</f>
        <v/>
      </c>
      <c r="K291" s="15">
        <f>IF(ROW()-1&gt;SUM(Floors!$E$2:$E$201), "", INDEX(Floors!$H$2:$H$201, IFERROR(MATCH(ROW()-1-0.0001, Floors!$L$2:$L$201, 1), 0)+1))</f>
        <v/>
      </c>
      <c r="L291" s="14">
        <f>IF(ROW()-1&gt;SUM(Floors!$E$2:$E$201), "", INDEX(Floors!$D$2:$D$201, IFERROR(MATCH(ROW()-1-0.0001, Floors!$L$2:$L$201, 1), 0)+1))</f>
        <v/>
      </c>
      <c r="M291" s="15">
        <f>IF(ROW()-1&gt;SUM(Floors!$E$2:$E$201), "", INDEX(Floors!$K$2:$K$201, IFERROR(MATCH(ROW()-1-0.0001, Floors!$L$2:$L$201, 1), 0)+1))</f>
        <v/>
      </c>
    </row>
    <row r="292">
      <c r="A292" s="6">
        <f>IF(J292="","",IF(J292=J291,"",J292))</f>
        <v/>
      </c>
      <c r="B292" s="6">
        <f>IF(K292="","",IF(K292=K291,"",K292))</f>
        <v/>
      </c>
      <c r="C292" s="5">
        <f>IF(L292="","",IF(L292=L291,"",L292))</f>
        <v/>
      </c>
      <c r="D292" s="6">
        <f>IF(L292="","", SUBSTITUTE(M292," Floor","") &amp; " " &amp; CHOOSE(MIN((ROW()-1)-IFERROR(INDEX(Floors!$L$2:$L$201, MATCH(ROW()-1-0.0001, Floors!$L$2:$L$201, 1)), 0), 4), "North", "South", "East", "West"))</f>
        <v/>
      </c>
      <c r="E292" s="12" t="n"/>
      <c r="F292" s="12" t="n"/>
      <c r="G292" s="12" t="n"/>
      <c r="H292" s="16" t="n"/>
      <c r="I292" s="16" t="n"/>
      <c r="J292" s="15">
        <f>IF(ROW()-1&gt;SUM(Floors!$E$2:$E$201), "", INDEX(Floors!$F$2:$F$201, IFERROR(MATCH(ROW()-1-0.0001, Floors!$L$2:$L$201, 1), 0)+1))</f>
        <v/>
      </c>
      <c r="K292" s="15">
        <f>IF(ROW()-1&gt;SUM(Floors!$E$2:$E$201), "", INDEX(Floors!$H$2:$H$201, IFERROR(MATCH(ROW()-1-0.0001, Floors!$L$2:$L$201, 1), 0)+1))</f>
        <v/>
      </c>
      <c r="L292" s="14">
        <f>IF(ROW()-1&gt;SUM(Floors!$E$2:$E$201), "", INDEX(Floors!$D$2:$D$201, IFERROR(MATCH(ROW()-1-0.0001, Floors!$L$2:$L$201, 1), 0)+1))</f>
        <v/>
      </c>
      <c r="M292" s="15">
        <f>IF(ROW()-1&gt;SUM(Floors!$E$2:$E$201), "", INDEX(Floors!$K$2:$K$201, IFERROR(MATCH(ROW()-1-0.0001, Floors!$L$2:$L$201, 1), 0)+1))</f>
        <v/>
      </c>
    </row>
    <row r="293">
      <c r="A293" s="6">
        <f>IF(J293="","",IF(J293=J292,"",J293))</f>
        <v/>
      </c>
      <c r="B293" s="6">
        <f>IF(K293="","",IF(K293=K292,"",K293))</f>
        <v/>
      </c>
      <c r="C293" s="5">
        <f>IF(L293="","",IF(L293=L292,"",L293))</f>
        <v/>
      </c>
      <c r="D293" s="6">
        <f>IF(L293="","", SUBSTITUTE(M293," Floor","") &amp; " " &amp; CHOOSE(MIN((ROW()-1)-IFERROR(INDEX(Floors!$L$2:$L$201, MATCH(ROW()-1-0.0001, Floors!$L$2:$L$201, 1)), 0), 4), "North", "South", "East", "West"))</f>
        <v/>
      </c>
      <c r="E293" s="12" t="n"/>
      <c r="F293" s="12" t="n"/>
      <c r="G293" s="12" t="n"/>
      <c r="H293" s="16" t="n"/>
      <c r="I293" s="16" t="n"/>
      <c r="J293" s="15">
        <f>IF(ROW()-1&gt;SUM(Floors!$E$2:$E$201), "", INDEX(Floors!$F$2:$F$201, IFERROR(MATCH(ROW()-1-0.0001, Floors!$L$2:$L$201, 1), 0)+1))</f>
        <v/>
      </c>
      <c r="K293" s="15">
        <f>IF(ROW()-1&gt;SUM(Floors!$E$2:$E$201), "", INDEX(Floors!$H$2:$H$201, IFERROR(MATCH(ROW()-1-0.0001, Floors!$L$2:$L$201, 1), 0)+1))</f>
        <v/>
      </c>
      <c r="L293" s="14">
        <f>IF(ROW()-1&gt;SUM(Floors!$E$2:$E$201), "", INDEX(Floors!$D$2:$D$201, IFERROR(MATCH(ROW()-1-0.0001, Floors!$L$2:$L$201, 1), 0)+1))</f>
        <v/>
      </c>
      <c r="M293" s="15">
        <f>IF(ROW()-1&gt;SUM(Floors!$E$2:$E$201), "", INDEX(Floors!$K$2:$K$201, IFERROR(MATCH(ROW()-1-0.0001, Floors!$L$2:$L$201, 1), 0)+1))</f>
        <v/>
      </c>
    </row>
    <row r="294">
      <c r="A294" s="6">
        <f>IF(J294="","",IF(J294=J293,"",J294))</f>
        <v/>
      </c>
      <c r="B294" s="6">
        <f>IF(K294="","",IF(K294=K293,"",K294))</f>
        <v/>
      </c>
      <c r="C294" s="5">
        <f>IF(L294="","",IF(L294=L293,"",L294))</f>
        <v/>
      </c>
      <c r="D294" s="6">
        <f>IF(L294="","", SUBSTITUTE(M294," Floor","") &amp; " " &amp; CHOOSE(MIN((ROW()-1)-IFERROR(INDEX(Floors!$L$2:$L$201, MATCH(ROW()-1-0.0001, Floors!$L$2:$L$201, 1)), 0), 4), "North", "South", "East", "West"))</f>
        <v/>
      </c>
      <c r="E294" s="12" t="n"/>
      <c r="F294" s="12" t="n"/>
      <c r="G294" s="12" t="n"/>
      <c r="H294" s="16" t="n"/>
      <c r="I294" s="16" t="n"/>
      <c r="J294" s="15">
        <f>IF(ROW()-1&gt;SUM(Floors!$E$2:$E$201), "", INDEX(Floors!$F$2:$F$201, IFERROR(MATCH(ROW()-1-0.0001, Floors!$L$2:$L$201, 1), 0)+1))</f>
        <v/>
      </c>
      <c r="K294" s="15">
        <f>IF(ROW()-1&gt;SUM(Floors!$E$2:$E$201), "", INDEX(Floors!$H$2:$H$201, IFERROR(MATCH(ROW()-1-0.0001, Floors!$L$2:$L$201, 1), 0)+1))</f>
        <v/>
      </c>
      <c r="L294" s="14">
        <f>IF(ROW()-1&gt;SUM(Floors!$E$2:$E$201), "", INDEX(Floors!$D$2:$D$201, IFERROR(MATCH(ROW()-1-0.0001, Floors!$L$2:$L$201, 1), 0)+1))</f>
        <v/>
      </c>
      <c r="M294" s="15">
        <f>IF(ROW()-1&gt;SUM(Floors!$E$2:$E$201), "", INDEX(Floors!$K$2:$K$201, IFERROR(MATCH(ROW()-1-0.0001, Floors!$L$2:$L$201, 1), 0)+1))</f>
        <v/>
      </c>
    </row>
    <row r="295">
      <c r="A295" s="6">
        <f>IF(J295="","",IF(J295=J294,"",J295))</f>
        <v/>
      </c>
      <c r="B295" s="6">
        <f>IF(K295="","",IF(K295=K294,"",K295))</f>
        <v/>
      </c>
      <c r="C295" s="5">
        <f>IF(L295="","",IF(L295=L294,"",L295))</f>
        <v/>
      </c>
      <c r="D295" s="6">
        <f>IF(L295="","", SUBSTITUTE(M295," Floor","") &amp; " " &amp; CHOOSE(MIN((ROW()-1)-IFERROR(INDEX(Floors!$L$2:$L$201, MATCH(ROW()-1-0.0001, Floors!$L$2:$L$201, 1)), 0), 4), "North", "South", "East", "West"))</f>
        <v/>
      </c>
      <c r="E295" s="12" t="n"/>
      <c r="F295" s="12" t="n"/>
      <c r="G295" s="12" t="n"/>
      <c r="H295" s="16" t="n"/>
      <c r="I295" s="16" t="n"/>
      <c r="J295" s="15">
        <f>IF(ROW()-1&gt;SUM(Floors!$E$2:$E$201), "", INDEX(Floors!$F$2:$F$201, IFERROR(MATCH(ROW()-1-0.0001, Floors!$L$2:$L$201, 1), 0)+1))</f>
        <v/>
      </c>
      <c r="K295" s="15">
        <f>IF(ROW()-1&gt;SUM(Floors!$E$2:$E$201), "", INDEX(Floors!$H$2:$H$201, IFERROR(MATCH(ROW()-1-0.0001, Floors!$L$2:$L$201, 1), 0)+1))</f>
        <v/>
      </c>
      <c r="L295" s="14">
        <f>IF(ROW()-1&gt;SUM(Floors!$E$2:$E$201), "", INDEX(Floors!$D$2:$D$201, IFERROR(MATCH(ROW()-1-0.0001, Floors!$L$2:$L$201, 1), 0)+1))</f>
        <v/>
      </c>
      <c r="M295" s="15">
        <f>IF(ROW()-1&gt;SUM(Floors!$E$2:$E$201), "", INDEX(Floors!$K$2:$K$201, IFERROR(MATCH(ROW()-1-0.0001, Floors!$L$2:$L$201, 1), 0)+1))</f>
        <v/>
      </c>
    </row>
    <row r="296">
      <c r="A296" s="6">
        <f>IF(J296="","",IF(J296=J295,"",J296))</f>
        <v/>
      </c>
      <c r="B296" s="6">
        <f>IF(K296="","",IF(K296=K295,"",K296))</f>
        <v/>
      </c>
      <c r="C296" s="5">
        <f>IF(L296="","",IF(L296=L295,"",L296))</f>
        <v/>
      </c>
      <c r="D296" s="6">
        <f>IF(L296="","", SUBSTITUTE(M296," Floor","") &amp; " " &amp; CHOOSE(MIN((ROW()-1)-IFERROR(INDEX(Floors!$L$2:$L$201, MATCH(ROW()-1-0.0001, Floors!$L$2:$L$201, 1)), 0), 4), "North", "South", "East", "West"))</f>
        <v/>
      </c>
      <c r="E296" s="12" t="n"/>
      <c r="F296" s="12" t="n"/>
      <c r="G296" s="12" t="n"/>
      <c r="H296" s="16" t="n"/>
      <c r="I296" s="16" t="n"/>
      <c r="J296" s="15">
        <f>IF(ROW()-1&gt;SUM(Floors!$E$2:$E$201), "", INDEX(Floors!$F$2:$F$201, IFERROR(MATCH(ROW()-1-0.0001, Floors!$L$2:$L$201, 1), 0)+1))</f>
        <v/>
      </c>
      <c r="K296" s="15">
        <f>IF(ROW()-1&gt;SUM(Floors!$E$2:$E$201), "", INDEX(Floors!$H$2:$H$201, IFERROR(MATCH(ROW()-1-0.0001, Floors!$L$2:$L$201, 1), 0)+1))</f>
        <v/>
      </c>
      <c r="L296" s="14">
        <f>IF(ROW()-1&gt;SUM(Floors!$E$2:$E$201), "", INDEX(Floors!$D$2:$D$201, IFERROR(MATCH(ROW()-1-0.0001, Floors!$L$2:$L$201, 1), 0)+1))</f>
        <v/>
      </c>
      <c r="M296" s="15">
        <f>IF(ROW()-1&gt;SUM(Floors!$E$2:$E$201), "", INDEX(Floors!$K$2:$K$201, IFERROR(MATCH(ROW()-1-0.0001, Floors!$L$2:$L$201, 1), 0)+1))</f>
        <v/>
      </c>
    </row>
    <row r="297">
      <c r="A297" s="6">
        <f>IF(J297="","",IF(J297=J296,"",J297))</f>
        <v/>
      </c>
      <c r="B297" s="6">
        <f>IF(K297="","",IF(K297=K296,"",K297))</f>
        <v/>
      </c>
      <c r="C297" s="5">
        <f>IF(L297="","",IF(L297=L296,"",L297))</f>
        <v/>
      </c>
      <c r="D297" s="6">
        <f>IF(L297="","", SUBSTITUTE(M297," Floor","") &amp; " " &amp; CHOOSE(MIN((ROW()-1)-IFERROR(INDEX(Floors!$L$2:$L$201, MATCH(ROW()-1-0.0001, Floors!$L$2:$L$201, 1)), 0), 4), "North", "South", "East", "West"))</f>
        <v/>
      </c>
      <c r="E297" s="12" t="n"/>
      <c r="F297" s="12" t="n"/>
      <c r="G297" s="12" t="n"/>
      <c r="H297" s="16" t="n"/>
      <c r="I297" s="16" t="n"/>
      <c r="J297" s="15">
        <f>IF(ROW()-1&gt;SUM(Floors!$E$2:$E$201), "", INDEX(Floors!$F$2:$F$201, IFERROR(MATCH(ROW()-1-0.0001, Floors!$L$2:$L$201, 1), 0)+1))</f>
        <v/>
      </c>
      <c r="K297" s="15">
        <f>IF(ROW()-1&gt;SUM(Floors!$E$2:$E$201), "", INDEX(Floors!$H$2:$H$201, IFERROR(MATCH(ROW()-1-0.0001, Floors!$L$2:$L$201, 1), 0)+1))</f>
        <v/>
      </c>
      <c r="L297" s="14">
        <f>IF(ROW()-1&gt;SUM(Floors!$E$2:$E$201), "", INDEX(Floors!$D$2:$D$201, IFERROR(MATCH(ROW()-1-0.0001, Floors!$L$2:$L$201, 1), 0)+1))</f>
        <v/>
      </c>
      <c r="M297" s="15">
        <f>IF(ROW()-1&gt;SUM(Floors!$E$2:$E$201), "", INDEX(Floors!$K$2:$K$201, IFERROR(MATCH(ROW()-1-0.0001, Floors!$L$2:$L$201, 1), 0)+1))</f>
        <v/>
      </c>
    </row>
    <row r="298">
      <c r="A298" s="6">
        <f>IF(J298="","",IF(J298=J297,"",J298))</f>
        <v/>
      </c>
      <c r="B298" s="6">
        <f>IF(K298="","",IF(K298=K297,"",K298))</f>
        <v/>
      </c>
      <c r="C298" s="5">
        <f>IF(L298="","",IF(L298=L297,"",L298))</f>
        <v/>
      </c>
      <c r="D298" s="6">
        <f>IF(L298="","", SUBSTITUTE(M298," Floor","") &amp; " " &amp; CHOOSE(MIN((ROW()-1)-IFERROR(INDEX(Floors!$L$2:$L$201, MATCH(ROW()-1-0.0001, Floors!$L$2:$L$201, 1)), 0), 4), "North", "South", "East", "West"))</f>
        <v/>
      </c>
      <c r="E298" s="12" t="n"/>
      <c r="F298" s="12" t="n"/>
      <c r="G298" s="12" t="n"/>
      <c r="H298" s="16" t="n"/>
      <c r="I298" s="16" t="n"/>
      <c r="J298" s="15">
        <f>IF(ROW()-1&gt;SUM(Floors!$E$2:$E$201), "", INDEX(Floors!$F$2:$F$201, IFERROR(MATCH(ROW()-1-0.0001, Floors!$L$2:$L$201, 1), 0)+1))</f>
        <v/>
      </c>
      <c r="K298" s="15">
        <f>IF(ROW()-1&gt;SUM(Floors!$E$2:$E$201), "", INDEX(Floors!$H$2:$H$201, IFERROR(MATCH(ROW()-1-0.0001, Floors!$L$2:$L$201, 1), 0)+1))</f>
        <v/>
      </c>
      <c r="L298" s="14">
        <f>IF(ROW()-1&gt;SUM(Floors!$E$2:$E$201), "", INDEX(Floors!$D$2:$D$201, IFERROR(MATCH(ROW()-1-0.0001, Floors!$L$2:$L$201, 1), 0)+1))</f>
        <v/>
      </c>
      <c r="M298" s="15">
        <f>IF(ROW()-1&gt;SUM(Floors!$E$2:$E$201), "", INDEX(Floors!$K$2:$K$201, IFERROR(MATCH(ROW()-1-0.0001, Floors!$L$2:$L$201, 1), 0)+1))</f>
        <v/>
      </c>
    </row>
    <row r="299">
      <c r="A299" s="6">
        <f>IF(J299="","",IF(J299=J298,"",J299))</f>
        <v/>
      </c>
      <c r="B299" s="6">
        <f>IF(K299="","",IF(K299=K298,"",K299))</f>
        <v/>
      </c>
      <c r="C299" s="5">
        <f>IF(L299="","",IF(L299=L298,"",L299))</f>
        <v/>
      </c>
      <c r="D299" s="6">
        <f>IF(L299="","", SUBSTITUTE(M299," Floor","") &amp; " " &amp; CHOOSE(MIN((ROW()-1)-IFERROR(INDEX(Floors!$L$2:$L$201, MATCH(ROW()-1-0.0001, Floors!$L$2:$L$201, 1)), 0), 4), "North", "South", "East", "West"))</f>
        <v/>
      </c>
      <c r="E299" s="12" t="n"/>
      <c r="F299" s="12" t="n"/>
      <c r="G299" s="12" t="n"/>
      <c r="H299" s="16" t="n"/>
      <c r="I299" s="16" t="n"/>
      <c r="J299" s="15">
        <f>IF(ROW()-1&gt;SUM(Floors!$E$2:$E$201), "", INDEX(Floors!$F$2:$F$201, IFERROR(MATCH(ROW()-1-0.0001, Floors!$L$2:$L$201, 1), 0)+1))</f>
        <v/>
      </c>
      <c r="K299" s="15">
        <f>IF(ROW()-1&gt;SUM(Floors!$E$2:$E$201), "", INDEX(Floors!$H$2:$H$201, IFERROR(MATCH(ROW()-1-0.0001, Floors!$L$2:$L$201, 1), 0)+1))</f>
        <v/>
      </c>
      <c r="L299" s="14">
        <f>IF(ROW()-1&gt;SUM(Floors!$E$2:$E$201), "", INDEX(Floors!$D$2:$D$201, IFERROR(MATCH(ROW()-1-0.0001, Floors!$L$2:$L$201, 1), 0)+1))</f>
        <v/>
      </c>
      <c r="M299" s="15">
        <f>IF(ROW()-1&gt;SUM(Floors!$E$2:$E$201), "", INDEX(Floors!$K$2:$K$201, IFERROR(MATCH(ROW()-1-0.0001, Floors!$L$2:$L$201, 1), 0)+1))</f>
        <v/>
      </c>
    </row>
    <row r="300">
      <c r="A300" s="6">
        <f>IF(J300="","",IF(J300=J299,"",J300))</f>
        <v/>
      </c>
      <c r="B300" s="6">
        <f>IF(K300="","",IF(K300=K299,"",K300))</f>
        <v/>
      </c>
      <c r="C300" s="5">
        <f>IF(L300="","",IF(L300=L299,"",L300))</f>
        <v/>
      </c>
      <c r="D300" s="6">
        <f>IF(L300="","", SUBSTITUTE(M300," Floor","") &amp; " " &amp; CHOOSE(MIN((ROW()-1)-IFERROR(INDEX(Floors!$L$2:$L$201, MATCH(ROW()-1-0.0001, Floors!$L$2:$L$201, 1)), 0), 4), "North", "South", "East", "West"))</f>
        <v/>
      </c>
      <c r="E300" s="12" t="n"/>
      <c r="F300" s="12" t="n"/>
      <c r="G300" s="12" t="n"/>
      <c r="H300" s="16" t="n"/>
      <c r="I300" s="16" t="n"/>
      <c r="J300" s="15">
        <f>IF(ROW()-1&gt;SUM(Floors!$E$2:$E$201), "", INDEX(Floors!$F$2:$F$201, IFERROR(MATCH(ROW()-1-0.0001, Floors!$L$2:$L$201, 1), 0)+1))</f>
        <v/>
      </c>
      <c r="K300" s="15">
        <f>IF(ROW()-1&gt;SUM(Floors!$E$2:$E$201), "", INDEX(Floors!$H$2:$H$201, IFERROR(MATCH(ROW()-1-0.0001, Floors!$L$2:$L$201, 1), 0)+1))</f>
        <v/>
      </c>
      <c r="L300" s="14">
        <f>IF(ROW()-1&gt;SUM(Floors!$E$2:$E$201), "", INDEX(Floors!$D$2:$D$201, IFERROR(MATCH(ROW()-1-0.0001, Floors!$L$2:$L$201, 1), 0)+1))</f>
        <v/>
      </c>
      <c r="M300" s="15">
        <f>IF(ROW()-1&gt;SUM(Floors!$E$2:$E$201), "", INDEX(Floors!$K$2:$K$201, IFERROR(MATCH(ROW()-1-0.0001, Floors!$L$2:$L$201, 1), 0)+1))</f>
        <v/>
      </c>
    </row>
    <row r="301">
      <c r="A301" s="6">
        <f>IF(J301="","",IF(J301=J300,"",J301))</f>
        <v/>
      </c>
      <c r="B301" s="6">
        <f>IF(K301="","",IF(K301=K300,"",K301))</f>
        <v/>
      </c>
      <c r="C301" s="5">
        <f>IF(L301="","",IF(L301=L300,"",L301))</f>
        <v/>
      </c>
      <c r="D301" s="6">
        <f>IF(L301="","", SUBSTITUTE(M301," Floor","") &amp; " " &amp; CHOOSE(MIN((ROW()-1)-IFERROR(INDEX(Floors!$L$2:$L$201, MATCH(ROW()-1-0.0001, Floors!$L$2:$L$201, 1)), 0), 4), "North", "South", "East", "West"))</f>
        <v/>
      </c>
      <c r="E301" s="12" t="n"/>
      <c r="F301" s="12" t="n"/>
      <c r="G301" s="12" t="n"/>
      <c r="H301" s="16" t="n"/>
      <c r="I301" s="16" t="n"/>
      <c r="J301" s="15">
        <f>IF(ROW()-1&gt;SUM(Floors!$E$2:$E$201), "", INDEX(Floors!$F$2:$F$201, IFERROR(MATCH(ROW()-1-0.0001, Floors!$L$2:$L$201, 1), 0)+1))</f>
        <v/>
      </c>
      <c r="K301" s="15">
        <f>IF(ROW()-1&gt;SUM(Floors!$E$2:$E$201), "", INDEX(Floors!$H$2:$H$201, IFERROR(MATCH(ROW()-1-0.0001, Floors!$L$2:$L$201, 1), 0)+1))</f>
        <v/>
      </c>
      <c r="L301" s="14">
        <f>IF(ROW()-1&gt;SUM(Floors!$E$2:$E$201), "", INDEX(Floors!$D$2:$D$201, IFERROR(MATCH(ROW()-1-0.0001, Floors!$L$2:$L$201, 1), 0)+1))</f>
        <v/>
      </c>
      <c r="M301" s="15">
        <f>IF(ROW()-1&gt;SUM(Floors!$E$2:$E$201), "", INDEX(Floors!$K$2:$K$201, IFERROR(MATCH(ROW()-1-0.0001, Floors!$L$2:$L$201, 1), 0)+1))</f>
        <v/>
      </c>
    </row>
    <row r="302">
      <c r="A302" s="6">
        <f>IF(J302="","",IF(J302=J301,"",J302))</f>
        <v/>
      </c>
      <c r="B302" s="6">
        <f>IF(K302="","",IF(K302=K301,"",K302))</f>
        <v/>
      </c>
      <c r="C302" s="5">
        <f>IF(L302="","",IF(L302=L301,"",L302))</f>
        <v/>
      </c>
      <c r="D302" s="6">
        <f>IF(L302="","", SUBSTITUTE(M302," Floor","") &amp; " " &amp; CHOOSE(MIN((ROW()-1)-IFERROR(INDEX(Floors!$L$2:$L$201, MATCH(ROW()-1-0.0001, Floors!$L$2:$L$201, 1)), 0), 4), "North", "South", "East", "West"))</f>
        <v/>
      </c>
      <c r="E302" s="12" t="n"/>
      <c r="F302" s="12" t="n"/>
      <c r="G302" s="12" t="n"/>
      <c r="H302" s="16" t="n"/>
      <c r="I302" s="16" t="n"/>
      <c r="J302" s="15">
        <f>IF(ROW()-1&gt;SUM(Floors!$E$2:$E$201), "", INDEX(Floors!$F$2:$F$201, IFERROR(MATCH(ROW()-1-0.0001, Floors!$L$2:$L$201, 1), 0)+1))</f>
        <v/>
      </c>
      <c r="K302" s="15">
        <f>IF(ROW()-1&gt;SUM(Floors!$E$2:$E$201), "", INDEX(Floors!$H$2:$H$201, IFERROR(MATCH(ROW()-1-0.0001, Floors!$L$2:$L$201, 1), 0)+1))</f>
        <v/>
      </c>
      <c r="L302" s="14">
        <f>IF(ROW()-1&gt;SUM(Floors!$E$2:$E$201), "", INDEX(Floors!$D$2:$D$201, IFERROR(MATCH(ROW()-1-0.0001, Floors!$L$2:$L$201, 1), 0)+1))</f>
        <v/>
      </c>
      <c r="M302" s="15">
        <f>IF(ROW()-1&gt;SUM(Floors!$E$2:$E$201), "", INDEX(Floors!$K$2:$K$201, IFERROR(MATCH(ROW()-1-0.0001, Floors!$L$2:$L$201, 1), 0)+1))</f>
        <v/>
      </c>
    </row>
    <row r="303">
      <c r="A303" s="6">
        <f>IF(J303="","",IF(J303=J302,"",J303))</f>
        <v/>
      </c>
      <c r="B303" s="6">
        <f>IF(K303="","",IF(K303=K302,"",K303))</f>
        <v/>
      </c>
      <c r="C303" s="5">
        <f>IF(L303="","",IF(L303=L302,"",L303))</f>
        <v/>
      </c>
      <c r="D303" s="6">
        <f>IF(L303="","", SUBSTITUTE(M303," Floor","") &amp; " " &amp; CHOOSE(MIN((ROW()-1)-IFERROR(INDEX(Floors!$L$2:$L$201, MATCH(ROW()-1-0.0001, Floors!$L$2:$L$201, 1)), 0), 4), "North", "South", "East", "West"))</f>
        <v/>
      </c>
      <c r="E303" s="12" t="n"/>
      <c r="F303" s="12" t="n"/>
      <c r="G303" s="12" t="n"/>
      <c r="H303" s="16" t="n"/>
      <c r="I303" s="16" t="n"/>
      <c r="J303" s="15">
        <f>IF(ROW()-1&gt;SUM(Floors!$E$2:$E$201), "", INDEX(Floors!$F$2:$F$201, IFERROR(MATCH(ROW()-1-0.0001, Floors!$L$2:$L$201, 1), 0)+1))</f>
        <v/>
      </c>
      <c r="K303" s="15">
        <f>IF(ROW()-1&gt;SUM(Floors!$E$2:$E$201), "", INDEX(Floors!$H$2:$H$201, IFERROR(MATCH(ROW()-1-0.0001, Floors!$L$2:$L$201, 1), 0)+1))</f>
        <v/>
      </c>
      <c r="L303" s="14">
        <f>IF(ROW()-1&gt;SUM(Floors!$E$2:$E$201), "", INDEX(Floors!$D$2:$D$201, IFERROR(MATCH(ROW()-1-0.0001, Floors!$L$2:$L$201, 1), 0)+1))</f>
        <v/>
      </c>
      <c r="M303" s="15">
        <f>IF(ROW()-1&gt;SUM(Floors!$E$2:$E$201), "", INDEX(Floors!$K$2:$K$201, IFERROR(MATCH(ROW()-1-0.0001, Floors!$L$2:$L$201, 1), 0)+1))</f>
        <v/>
      </c>
    </row>
    <row r="304">
      <c r="A304" s="6">
        <f>IF(J304="","",IF(J304=J303,"",J304))</f>
        <v/>
      </c>
      <c r="B304" s="6">
        <f>IF(K304="","",IF(K304=K303,"",K304))</f>
        <v/>
      </c>
      <c r="C304" s="5">
        <f>IF(L304="","",IF(L304=L303,"",L304))</f>
        <v/>
      </c>
      <c r="D304" s="6">
        <f>IF(L304="","", SUBSTITUTE(M304," Floor","") &amp; " " &amp; CHOOSE(MIN((ROW()-1)-IFERROR(INDEX(Floors!$L$2:$L$201, MATCH(ROW()-1-0.0001, Floors!$L$2:$L$201, 1)), 0), 4), "North", "South", "East", "West"))</f>
        <v/>
      </c>
      <c r="E304" s="12" t="n"/>
      <c r="F304" s="12" t="n"/>
      <c r="G304" s="12" t="n"/>
      <c r="H304" s="16" t="n"/>
      <c r="I304" s="16" t="n"/>
      <c r="J304" s="15">
        <f>IF(ROW()-1&gt;SUM(Floors!$E$2:$E$201), "", INDEX(Floors!$F$2:$F$201, IFERROR(MATCH(ROW()-1-0.0001, Floors!$L$2:$L$201, 1), 0)+1))</f>
        <v/>
      </c>
      <c r="K304" s="15">
        <f>IF(ROW()-1&gt;SUM(Floors!$E$2:$E$201), "", INDEX(Floors!$H$2:$H$201, IFERROR(MATCH(ROW()-1-0.0001, Floors!$L$2:$L$201, 1), 0)+1))</f>
        <v/>
      </c>
      <c r="L304" s="14">
        <f>IF(ROW()-1&gt;SUM(Floors!$E$2:$E$201), "", INDEX(Floors!$D$2:$D$201, IFERROR(MATCH(ROW()-1-0.0001, Floors!$L$2:$L$201, 1), 0)+1))</f>
        <v/>
      </c>
      <c r="M304" s="15">
        <f>IF(ROW()-1&gt;SUM(Floors!$E$2:$E$201), "", INDEX(Floors!$K$2:$K$201, IFERROR(MATCH(ROW()-1-0.0001, Floors!$L$2:$L$201, 1), 0)+1))</f>
        <v/>
      </c>
    </row>
    <row r="305">
      <c r="A305" s="6">
        <f>IF(J305="","",IF(J305=J304,"",J305))</f>
        <v/>
      </c>
      <c r="B305" s="6">
        <f>IF(K305="","",IF(K305=K304,"",K305))</f>
        <v/>
      </c>
      <c r="C305" s="5">
        <f>IF(L305="","",IF(L305=L304,"",L305))</f>
        <v/>
      </c>
      <c r="D305" s="6">
        <f>IF(L305="","", SUBSTITUTE(M305," Floor","") &amp; " " &amp; CHOOSE(MIN((ROW()-1)-IFERROR(INDEX(Floors!$L$2:$L$201, MATCH(ROW()-1-0.0001, Floors!$L$2:$L$201, 1)), 0), 4), "North", "South", "East", "West"))</f>
        <v/>
      </c>
      <c r="E305" s="12" t="n"/>
      <c r="F305" s="12" t="n"/>
      <c r="G305" s="12" t="n"/>
      <c r="H305" s="16" t="n"/>
      <c r="I305" s="16" t="n"/>
      <c r="J305" s="15">
        <f>IF(ROW()-1&gt;SUM(Floors!$E$2:$E$201), "", INDEX(Floors!$F$2:$F$201, IFERROR(MATCH(ROW()-1-0.0001, Floors!$L$2:$L$201, 1), 0)+1))</f>
        <v/>
      </c>
      <c r="K305" s="15">
        <f>IF(ROW()-1&gt;SUM(Floors!$E$2:$E$201), "", INDEX(Floors!$H$2:$H$201, IFERROR(MATCH(ROW()-1-0.0001, Floors!$L$2:$L$201, 1), 0)+1))</f>
        <v/>
      </c>
      <c r="L305" s="14">
        <f>IF(ROW()-1&gt;SUM(Floors!$E$2:$E$201), "", INDEX(Floors!$D$2:$D$201, IFERROR(MATCH(ROW()-1-0.0001, Floors!$L$2:$L$201, 1), 0)+1))</f>
        <v/>
      </c>
      <c r="M305" s="15">
        <f>IF(ROW()-1&gt;SUM(Floors!$E$2:$E$201), "", INDEX(Floors!$K$2:$K$201, IFERROR(MATCH(ROW()-1-0.0001, Floors!$L$2:$L$201, 1), 0)+1))</f>
        <v/>
      </c>
    </row>
    <row r="306">
      <c r="A306" s="6">
        <f>IF(J306="","",IF(J306=J305,"",J306))</f>
        <v/>
      </c>
      <c r="B306" s="6">
        <f>IF(K306="","",IF(K306=K305,"",K306))</f>
        <v/>
      </c>
      <c r="C306" s="5">
        <f>IF(L306="","",IF(L306=L305,"",L306))</f>
        <v/>
      </c>
      <c r="D306" s="6">
        <f>IF(L306="","", SUBSTITUTE(M306," Floor","") &amp; " " &amp; CHOOSE(MIN((ROW()-1)-IFERROR(INDEX(Floors!$L$2:$L$201, MATCH(ROW()-1-0.0001, Floors!$L$2:$L$201, 1)), 0), 4), "North", "South", "East", "West"))</f>
        <v/>
      </c>
      <c r="E306" s="12" t="n"/>
      <c r="F306" s="12" t="n"/>
      <c r="G306" s="12" t="n"/>
      <c r="H306" s="16" t="n"/>
      <c r="I306" s="16" t="n"/>
      <c r="J306" s="15">
        <f>IF(ROW()-1&gt;SUM(Floors!$E$2:$E$201), "", INDEX(Floors!$F$2:$F$201, IFERROR(MATCH(ROW()-1-0.0001, Floors!$L$2:$L$201, 1), 0)+1))</f>
        <v/>
      </c>
      <c r="K306" s="15">
        <f>IF(ROW()-1&gt;SUM(Floors!$E$2:$E$201), "", INDEX(Floors!$H$2:$H$201, IFERROR(MATCH(ROW()-1-0.0001, Floors!$L$2:$L$201, 1), 0)+1))</f>
        <v/>
      </c>
      <c r="L306" s="14">
        <f>IF(ROW()-1&gt;SUM(Floors!$E$2:$E$201), "", INDEX(Floors!$D$2:$D$201, IFERROR(MATCH(ROW()-1-0.0001, Floors!$L$2:$L$201, 1), 0)+1))</f>
        <v/>
      </c>
      <c r="M306" s="15">
        <f>IF(ROW()-1&gt;SUM(Floors!$E$2:$E$201), "", INDEX(Floors!$K$2:$K$201, IFERROR(MATCH(ROW()-1-0.0001, Floors!$L$2:$L$201, 1), 0)+1))</f>
        <v/>
      </c>
    </row>
    <row r="307">
      <c r="A307" s="6">
        <f>IF(J307="","",IF(J307=J306,"",J307))</f>
        <v/>
      </c>
      <c r="B307" s="6">
        <f>IF(K307="","",IF(K307=K306,"",K307))</f>
        <v/>
      </c>
      <c r="C307" s="5">
        <f>IF(L307="","",IF(L307=L306,"",L307))</f>
        <v/>
      </c>
      <c r="D307" s="6">
        <f>IF(L307="","", SUBSTITUTE(M307," Floor","") &amp; " " &amp; CHOOSE(MIN((ROW()-1)-IFERROR(INDEX(Floors!$L$2:$L$201, MATCH(ROW()-1-0.0001, Floors!$L$2:$L$201, 1)), 0), 4), "North", "South", "East", "West"))</f>
        <v/>
      </c>
      <c r="E307" s="12" t="n"/>
      <c r="F307" s="12" t="n"/>
      <c r="G307" s="12" t="n"/>
      <c r="H307" s="16" t="n"/>
      <c r="I307" s="16" t="n"/>
      <c r="J307" s="15">
        <f>IF(ROW()-1&gt;SUM(Floors!$E$2:$E$201), "", INDEX(Floors!$F$2:$F$201, IFERROR(MATCH(ROW()-1-0.0001, Floors!$L$2:$L$201, 1), 0)+1))</f>
        <v/>
      </c>
      <c r="K307" s="15">
        <f>IF(ROW()-1&gt;SUM(Floors!$E$2:$E$201), "", INDEX(Floors!$H$2:$H$201, IFERROR(MATCH(ROW()-1-0.0001, Floors!$L$2:$L$201, 1), 0)+1))</f>
        <v/>
      </c>
      <c r="L307" s="14">
        <f>IF(ROW()-1&gt;SUM(Floors!$E$2:$E$201), "", INDEX(Floors!$D$2:$D$201, IFERROR(MATCH(ROW()-1-0.0001, Floors!$L$2:$L$201, 1), 0)+1))</f>
        <v/>
      </c>
      <c r="M307" s="15">
        <f>IF(ROW()-1&gt;SUM(Floors!$E$2:$E$201), "", INDEX(Floors!$K$2:$K$201, IFERROR(MATCH(ROW()-1-0.0001, Floors!$L$2:$L$201, 1), 0)+1))</f>
        <v/>
      </c>
    </row>
    <row r="308">
      <c r="A308" s="6">
        <f>IF(J308="","",IF(J308=J307,"",J308))</f>
        <v/>
      </c>
      <c r="B308" s="6">
        <f>IF(K308="","",IF(K308=K307,"",K308))</f>
        <v/>
      </c>
      <c r="C308" s="5">
        <f>IF(L308="","",IF(L308=L307,"",L308))</f>
        <v/>
      </c>
      <c r="D308" s="6">
        <f>IF(L308="","", SUBSTITUTE(M308," Floor","") &amp; " " &amp; CHOOSE(MIN((ROW()-1)-IFERROR(INDEX(Floors!$L$2:$L$201, MATCH(ROW()-1-0.0001, Floors!$L$2:$L$201, 1)), 0), 4), "North", "South", "East", "West"))</f>
        <v/>
      </c>
      <c r="E308" s="12" t="n"/>
      <c r="F308" s="12" t="n"/>
      <c r="G308" s="12" t="n"/>
      <c r="H308" s="16" t="n"/>
      <c r="I308" s="16" t="n"/>
      <c r="J308" s="15">
        <f>IF(ROW()-1&gt;SUM(Floors!$E$2:$E$201), "", INDEX(Floors!$F$2:$F$201, IFERROR(MATCH(ROW()-1-0.0001, Floors!$L$2:$L$201, 1), 0)+1))</f>
        <v/>
      </c>
      <c r="K308" s="15">
        <f>IF(ROW()-1&gt;SUM(Floors!$E$2:$E$201), "", INDEX(Floors!$H$2:$H$201, IFERROR(MATCH(ROW()-1-0.0001, Floors!$L$2:$L$201, 1), 0)+1))</f>
        <v/>
      </c>
      <c r="L308" s="14">
        <f>IF(ROW()-1&gt;SUM(Floors!$E$2:$E$201), "", INDEX(Floors!$D$2:$D$201, IFERROR(MATCH(ROW()-1-0.0001, Floors!$L$2:$L$201, 1), 0)+1))</f>
        <v/>
      </c>
      <c r="M308" s="15">
        <f>IF(ROW()-1&gt;SUM(Floors!$E$2:$E$201), "", INDEX(Floors!$K$2:$K$201, IFERROR(MATCH(ROW()-1-0.0001, Floors!$L$2:$L$201, 1), 0)+1))</f>
        <v/>
      </c>
    </row>
    <row r="309">
      <c r="A309" s="6">
        <f>IF(J309="","",IF(J309=J308,"",J309))</f>
        <v/>
      </c>
      <c r="B309" s="6">
        <f>IF(K309="","",IF(K309=K308,"",K309))</f>
        <v/>
      </c>
      <c r="C309" s="5">
        <f>IF(L309="","",IF(L309=L308,"",L309))</f>
        <v/>
      </c>
      <c r="D309" s="6">
        <f>IF(L309="","", SUBSTITUTE(M309," Floor","") &amp; " " &amp; CHOOSE(MIN((ROW()-1)-IFERROR(INDEX(Floors!$L$2:$L$201, MATCH(ROW()-1-0.0001, Floors!$L$2:$L$201, 1)), 0), 4), "North", "South", "East", "West"))</f>
        <v/>
      </c>
      <c r="E309" s="12" t="n"/>
      <c r="F309" s="12" t="n"/>
      <c r="G309" s="12" t="n"/>
      <c r="H309" s="16" t="n"/>
      <c r="I309" s="16" t="n"/>
      <c r="J309" s="15">
        <f>IF(ROW()-1&gt;SUM(Floors!$E$2:$E$201), "", INDEX(Floors!$F$2:$F$201, IFERROR(MATCH(ROW()-1-0.0001, Floors!$L$2:$L$201, 1), 0)+1))</f>
        <v/>
      </c>
      <c r="K309" s="15">
        <f>IF(ROW()-1&gt;SUM(Floors!$E$2:$E$201), "", INDEX(Floors!$H$2:$H$201, IFERROR(MATCH(ROW()-1-0.0001, Floors!$L$2:$L$201, 1), 0)+1))</f>
        <v/>
      </c>
      <c r="L309" s="14">
        <f>IF(ROW()-1&gt;SUM(Floors!$E$2:$E$201), "", INDEX(Floors!$D$2:$D$201, IFERROR(MATCH(ROW()-1-0.0001, Floors!$L$2:$L$201, 1), 0)+1))</f>
        <v/>
      </c>
      <c r="M309" s="15">
        <f>IF(ROW()-1&gt;SUM(Floors!$E$2:$E$201), "", INDEX(Floors!$K$2:$K$201, IFERROR(MATCH(ROW()-1-0.0001, Floors!$L$2:$L$201, 1), 0)+1))</f>
        <v/>
      </c>
    </row>
    <row r="310">
      <c r="A310" s="6">
        <f>IF(J310="","",IF(J310=J309,"",J310))</f>
        <v/>
      </c>
      <c r="B310" s="6">
        <f>IF(K310="","",IF(K310=K309,"",K310))</f>
        <v/>
      </c>
      <c r="C310" s="5">
        <f>IF(L310="","",IF(L310=L309,"",L310))</f>
        <v/>
      </c>
      <c r="D310" s="6">
        <f>IF(L310="","", SUBSTITUTE(M310," Floor","") &amp; " " &amp; CHOOSE(MIN((ROW()-1)-IFERROR(INDEX(Floors!$L$2:$L$201, MATCH(ROW()-1-0.0001, Floors!$L$2:$L$201, 1)), 0), 4), "North", "South", "East", "West"))</f>
        <v/>
      </c>
      <c r="E310" s="12" t="n"/>
      <c r="F310" s="12" t="n"/>
      <c r="G310" s="12" t="n"/>
      <c r="H310" s="16" t="n"/>
      <c r="I310" s="16" t="n"/>
      <c r="J310" s="15">
        <f>IF(ROW()-1&gt;SUM(Floors!$E$2:$E$201), "", INDEX(Floors!$F$2:$F$201, IFERROR(MATCH(ROW()-1-0.0001, Floors!$L$2:$L$201, 1), 0)+1))</f>
        <v/>
      </c>
      <c r="K310" s="15">
        <f>IF(ROW()-1&gt;SUM(Floors!$E$2:$E$201), "", INDEX(Floors!$H$2:$H$201, IFERROR(MATCH(ROW()-1-0.0001, Floors!$L$2:$L$201, 1), 0)+1))</f>
        <v/>
      </c>
      <c r="L310" s="14">
        <f>IF(ROW()-1&gt;SUM(Floors!$E$2:$E$201), "", INDEX(Floors!$D$2:$D$201, IFERROR(MATCH(ROW()-1-0.0001, Floors!$L$2:$L$201, 1), 0)+1))</f>
        <v/>
      </c>
      <c r="M310" s="15">
        <f>IF(ROW()-1&gt;SUM(Floors!$E$2:$E$201), "", INDEX(Floors!$K$2:$K$201, IFERROR(MATCH(ROW()-1-0.0001, Floors!$L$2:$L$201, 1), 0)+1))</f>
        <v/>
      </c>
    </row>
    <row r="311">
      <c r="A311" s="6">
        <f>IF(J311="","",IF(J311=J310,"",J311))</f>
        <v/>
      </c>
      <c r="B311" s="6">
        <f>IF(K311="","",IF(K311=K310,"",K311))</f>
        <v/>
      </c>
      <c r="C311" s="5">
        <f>IF(L311="","",IF(L311=L310,"",L311))</f>
        <v/>
      </c>
      <c r="D311" s="6">
        <f>IF(L311="","", SUBSTITUTE(M311," Floor","") &amp; " " &amp; CHOOSE(MIN((ROW()-1)-IFERROR(INDEX(Floors!$L$2:$L$201, MATCH(ROW()-1-0.0001, Floors!$L$2:$L$201, 1)), 0), 4), "North", "South", "East", "West"))</f>
        <v/>
      </c>
      <c r="E311" s="12" t="n"/>
      <c r="F311" s="12" t="n"/>
      <c r="G311" s="12" t="n"/>
      <c r="H311" s="16" t="n"/>
      <c r="I311" s="16" t="n"/>
      <c r="J311" s="15">
        <f>IF(ROW()-1&gt;SUM(Floors!$E$2:$E$201), "", INDEX(Floors!$F$2:$F$201, IFERROR(MATCH(ROW()-1-0.0001, Floors!$L$2:$L$201, 1), 0)+1))</f>
        <v/>
      </c>
      <c r="K311" s="15">
        <f>IF(ROW()-1&gt;SUM(Floors!$E$2:$E$201), "", INDEX(Floors!$H$2:$H$201, IFERROR(MATCH(ROW()-1-0.0001, Floors!$L$2:$L$201, 1), 0)+1))</f>
        <v/>
      </c>
      <c r="L311" s="14">
        <f>IF(ROW()-1&gt;SUM(Floors!$E$2:$E$201), "", INDEX(Floors!$D$2:$D$201, IFERROR(MATCH(ROW()-1-0.0001, Floors!$L$2:$L$201, 1), 0)+1))</f>
        <v/>
      </c>
      <c r="M311" s="15">
        <f>IF(ROW()-1&gt;SUM(Floors!$E$2:$E$201), "", INDEX(Floors!$K$2:$K$201, IFERROR(MATCH(ROW()-1-0.0001, Floors!$L$2:$L$201, 1), 0)+1))</f>
        <v/>
      </c>
    </row>
    <row r="312">
      <c r="A312" s="6">
        <f>IF(J312="","",IF(J312=J311,"",J312))</f>
        <v/>
      </c>
      <c r="B312" s="6">
        <f>IF(K312="","",IF(K312=K311,"",K312))</f>
        <v/>
      </c>
      <c r="C312" s="5">
        <f>IF(L312="","",IF(L312=L311,"",L312))</f>
        <v/>
      </c>
      <c r="D312" s="6">
        <f>IF(L312="","", SUBSTITUTE(M312," Floor","") &amp; " " &amp; CHOOSE(MIN((ROW()-1)-IFERROR(INDEX(Floors!$L$2:$L$201, MATCH(ROW()-1-0.0001, Floors!$L$2:$L$201, 1)), 0), 4), "North", "South", "East", "West"))</f>
        <v/>
      </c>
      <c r="E312" s="12" t="n"/>
      <c r="F312" s="12" t="n"/>
      <c r="G312" s="12" t="n"/>
      <c r="H312" s="16" t="n"/>
      <c r="I312" s="16" t="n"/>
      <c r="J312" s="15">
        <f>IF(ROW()-1&gt;SUM(Floors!$E$2:$E$201), "", INDEX(Floors!$F$2:$F$201, IFERROR(MATCH(ROW()-1-0.0001, Floors!$L$2:$L$201, 1), 0)+1))</f>
        <v/>
      </c>
      <c r="K312" s="15">
        <f>IF(ROW()-1&gt;SUM(Floors!$E$2:$E$201), "", INDEX(Floors!$H$2:$H$201, IFERROR(MATCH(ROW()-1-0.0001, Floors!$L$2:$L$201, 1), 0)+1))</f>
        <v/>
      </c>
      <c r="L312" s="14">
        <f>IF(ROW()-1&gt;SUM(Floors!$E$2:$E$201), "", INDEX(Floors!$D$2:$D$201, IFERROR(MATCH(ROW()-1-0.0001, Floors!$L$2:$L$201, 1), 0)+1))</f>
        <v/>
      </c>
      <c r="M312" s="15">
        <f>IF(ROW()-1&gt;SUM(Floors!$E$2:$E$201), "", INDEX(Floors!$K$2:$K$201, IFERROR(MATCH(ROW()-1-0.0001, Floors!$L$2:$L$201, 1), 0)+1))</f>
        <v/>
      </c>
    </row>
    <row r="313">
      <c r="A313" s="6">
        <f>IF(J313="","",IF(J313=J312,"",J313))</f>
        <v/>
      </c>
      <c r="B313" s="6">
        <f>IF(K313="","",IF(K313=K312,"",K313))</f>
        <v/>
      </c>
      <c r="C313" s="5">
        <f>IF(L313="","",IF(L313=L312,"",L313))</f>
        <v/>
      </c>
      <c r="D313" s="6">
        <f>IF(L313="","", SUBSTITUTE(M313," Floor","") &amp; " " &amp; CHOOSE(MIN((ROW()-1)-IFERROR(INDEX(Floors!$L$2:$L$201, MATCH(ROW()-1-0.0001, Floors!$L$2:$L$201, 1)), 0), 4), "North", "South", "East", "West"))</f>
        <v/>
      </c>
      <c r="E313" s="12" t="n"/>
      <c r="F313" s="12" t="n"/>
      <c r="G313" s="12" t="n"/>
      <c r="H313" s="16" t="n"/>
      <c r="I313" s="16" t="n"/>
      <c r="J313" s="15">
        <f>IF(ROW()-1&gt;SUM(Floors!$E$2:$E$201), "", INDEX(Floors!$F$2:$F$201, IFERROR(MATCH(ROW()-1-0.0001, Floors!$L$2:$L$201, 1), 0)+1))</f>
        <v/>
      </c>
      <c r="K313" s="15">
        <f>IF(ROW()-1&gt;SUM(Floors!$E$2:$E$201), "", INDEX(Floors!$H$2:$H$201, IFERROR(MATCH(ROW()-1-0.0001, Floors!$L$2:$L$201, 1), 0)+1))</f>
        <v/>
      </c>
      <c r="L313" s="14">
        <f>IF(ROW()-1&gt;SUM(Floors!$E$2:$E$201), "", INDEX(Floors!$D$2:$D$201, IFERROR(MATCH(ROW()-1-0.0001, Floors!$L$2:$L$201, 1), 0)+1))</f>
        <v/>
      </c>
      <c r="M313" s="15">
        <f>IF(ROW()-1&gt;SUM(Floors!$E$2:$E$201), "", INDEX(Floors!$K$2:$K$201, IFERROR(MATCH(ROW()-1-0.0001, Floors!$L$2:$L$201, 1), 0)+1))</f>
        <v/>
      </c>
    </row>
    <row r="314">
      <c r="A314" s="6">
        <f>IF(J314="","",IF(J314=J313,"",J314))</f>
        <v/>
      </c>
      <c r="B314" s="6">
        <f>IF(K314="","",IF(K314=K313,"",K314))</f>
        <v/>
      </c>
      <c r="C314" s="5">
        <f>IF(L314="","",IF(L314=L313,"",L314))</f>
        <v/>
      </c>
      <c r="D314" s="6">
        <f>IF(L314="","", SUBSTITUTE(M314," Floor","") &amp; " " &amp; CHOOSE(MIN((ROW()-1)-IFERROR(INDEX(Floors!$L$2:$L$201, MATCH(ROW()-1-0.0001, Floors!$L$2:$L$201, 1)), 0), 4), "North", "South", "East", "West"))</f>
        <v/>
      </c>
      <c r="E314" s="12" t="n"/>
      <c r="F314" s="12" t="n"/>
      <c r="G314" s="12" t="n"/>
      <c r="H314" s="16" t="n"/>
      <c r="I314" s="16" t="n"/>
      <c r="J314" s="15">
        <f>IF(ROW()-1&gt;SUM(Floors!$E$2:$E$201), "", INDEX(Floors!$F$2:$F$201, IFERROR(MATCH(ROW()-1-0.0001, Floors!$L$2:$L$201, 1), 0)+1))</f>
        <v/>
      </c>
      <c r="K314" s="15">
        <f>IF(ROW()-1&gt;SUM(Floors!$E$2:$E$201), "", INDEX(Floors!$H$2:$H$201, IFERROR(MATCH(ROW()-1-0.0001, Floors!$L$2:$L$201, 1), 0)+1))</f>
        <v/>
      </c>
      <c r="L314" s="14">
        <f>IF(ROW()-1&gt;SUM(Floors!$E$2:$E$201), "", INDEX(Floors!$D$2:$D$201, IFERROR(MATCH(ROW()-1-0.0001, Floors!$L$2:$L$201, 1), 0)+1))</f>
        <v/>
      </c>
      <c r="M314" s="15">
        <f>IF(ROW()-1&gt;SUM(Floors!$E$2:$E$201), "", INDEX(Floors!$K$2:$K$201, IFERROR(MATCH(ROW()-1-0.0001, Floors!$L$2:$L$201, 1), 0)+1))</f>
        <v/>
      </c>
    </row>
    <row r="315">
      <c r="A315" s="6">
        <f>IF(J315="","",IF(J315=J314,"",J315))</f>
        <v/>
      </c>
      <c r="B315" s="6">
        <f>IF(K315="","",IF(K315=K314,"",K315))</f>
        <v/>
      </c>
      <c r="C315" s="5">
        <f>IF(L315="","",IF(L315=L314,"",L315))</f>
        <v/>
      </c>
      <c r="D315" s="6">
        <f>IF(L315="","", SUBSTITUTE(M315," Floor","") &amp; " " &amp; CHOOSE(MIN((ROW()-1)-IFERROR(INDEX(Floors!$L$2:$L$201, MATCH(ROW()-1-0.0001, Floors!$L$2:$L$201, 1)), 0), 4), "North", "South", "East", "West"))</f>
        <v/>
      </c>
      <c r="E315" s="12" t="n"/>
      <c r="F315" s="12" t="n"/>
      <c r="G315" s="12" t="n"/>
      <c r="H315" s="16" t="n"/>
      <c r="I315" s="16" t="n"/>
      <c r="J315" s="15">
        <f>IF(ROW()-1&gt;SUM(Floors!$E$2:$E$201), "", INDEX(Floors!$F$2:$F$201, IFERROR(MATCH(ROW()-1-0.0001, Floors!$L$2:$L$201, 1), 0)+1))</f>
        <v/>
      </c>
      <c r="K315" s="15">
        <f>IF(ROW()-1&gt;SUM(Floors!$E$2:$E$201), "", INDEX(Floors!$H$2:$H$201, IFERROR(MATCH(ROW()-1-0.0001, Floors!$L$2:$L$201, 1), 0)+1))</f>
        <v/>
      </c>
      <c r="L315" s="14">
        <f>IF(ROW()-1&gt;SUM(Floors!$E$2:$E$201), "", INDEX(Floors!$D$2:$D$201, IFERROR(MATCH(ROW()-1-0.0001, Floors!$L$2:$L$201, 1), 0)+1))</f>
        <v/>
      </c>
      <c r="M315" s="15">
        <f>IF(ROW()-1&gt;SUM(Floors!$E$2:$E$201), "", INDEX(Floors!$K$2:$K$201, IFERROR(MATCH(ROW()-1-0.0001, Floors!$L$2:$L$201, 1), 0)+1))</f>
        <v/>
      </c>
    </row>
    <row r="316">
      <c r="A316" s="6">
        <f>IF(J316="","",IF(J316=J315,"",J316))</f>
        <v/>
      </c>
      <c r="B316" s="6">
        <f>IF(K316="","",IF(K316=K315,"",K316))</f>
        <v/>
      </c>
      <c r="C316" s="5">
        <f>IF(L316="","",IF(L316=L315,"",L316))</f>
        <v/>
      </c>
      <c r="D316" s="6">
        <f>IF(L316="","", SUBSTITUTE(M316," Floor","") &amp; " " &amp; CHOOSE(MIN((ROW()-1)-IFERROR(INDEX(Floors!$L$2:$L$201, MATCH(ROW()-1-0.0001, Floors!$L$2:$L$201, 1)), 0), 4), "North", "South", "East", "West"))</f>
        <v/>
      </c>
      <c r="E316" s="12" t="n"/>
      <c r="F316" s="12" t="n"/>
      <c r="G316" s="12" t="n"/>
      <c r="H316" s="16" t="n"/>
      <c r="I316" s="16" t="n"/>
      <c r="J316" s="15">
        <f>IF(ROW()-1&gt;SUM(Floors!$E$2:$E$201), "", INDEX(Floors!$F$2:$F$201, IFERROR(MATCH(ROW()-1-0.0001, Floors!$L$2:$L$201, 1), 0)+1))</f>
        <v/>
      </c>
      <c r="K316" s="15">
        <f>IF(ROW()-1&gt;SUM(Floors!$E$2:$E$201), "", INDEX(Floors!$H$2:$H$201, IFERROR(MATCH(ROW()-1-0.0001, Floors!$L$2:$L$201, 1), 0)+1))</f>
        <v/>
      </c>
      <c r="L316" s="14">
        <f>IF(ROW()-1&gt;SUM(Floors!$E$2:$E$201), "", INDEX(Floors!$D$2:$D$201, IFERROR(MATCH(ROW()-1-0.0001, Floors!$L$2:$L$201, 1), 0)+1))</f>
        <v/>
      </c>
      <c r="M316" s="15">
        <f>IF(ROW()-1&gt;SUM(Floors!$E$2:$E$201), "", INDEX(Floors!$K$2:$K$201, IFERROR(MATCH(ROW()-1-0.0001, Floors!$L$2:$L$201, 1), 0)+1))</f>
        <v/>
      </c>
    </row>
    <row r="317">
      <c r="A317" s="6">
        <f>IF(J317="","",IF(J317=J316,"",J317))</f>
        <v/>
      </c>
      <c r="B317" s="6">
        <f>IF(K317="","",IF(K317=K316,"",K317))</f>
        <v/>
      </c>
      <c r="C317" s="5">
        <f>IF(L317="","",IF(L317=L316,"",L317))</f>
        <v/>
      </c>
      <c r="D317" s="6">
        <f>IF(L317="","", SUBSTITUTE(M317," Floor","") &amp; " " &amp; CHOOSE(MIN((ROW()-1)-IFERROR(INDEX(Floors!$L$2:$L$201, MATCH(ROW()-1-0.0001, Floors!$L$2:$L$201, 1)), 0), 4), "North", "South", "East", "West"))</f>
        <v/>
      </c>
      <c r="E317" s="12" t="n"/>
      <c r="F317" s="12" t="n"/>
      <c r="G317" s="12" t="n"/>
      <c r="H317" s="16" t="n"/>
      <c r="I317" s="16" t="n"/>
      <c r="J317" s="15">
        <f>IF(ROW()-1&gt;SUM(Floors!$E$2:$E$201), "", INDEX(Floors!$F$2:$F$201, IFERROR(MATCH(ROW()-1-0.0001, Floors!$L$2:$L$201, 1), 0)+1))</f>
        <v/>
      </c>
      <c r="K317" s="15">
        <f>IF(ROW()-1&gt;SUM(Floors!$E$2:$E$201), "", INDEX(Floors!$H$2:$H$201, IFERROR(MATCH(ROW()-1-0.0001, Floors!$L$2:$L$201, 1), 0)+1))</f>
        <v/>
      </c>
      <c r="L317" s="14">
        <f>IF(ROW()-1&gt;SUM(Floors!$E$2:$E$201), "", INDEX(Floors!$D$2:$D$201, IFERROR(MATCH(ROW()-1-0.0001, Floors!$L$2:$L$201, 1), 0)+1))</f>
        <v/>
      </c>
      <c r="M317" s="15">
        <f>IF(ROW()-1&gt;SUM(Floors!$E$2:$E$201), "", INDEX(Floors!$K$2:$K$201, IFERROR(MATCH(ROW()-1-0.0001, Floors!$L$2:$L$201, 1), 0)+1))</f>
        <v/>
      </c>
    </row>
    <row r="318">
      <c r="A318" s="6">
        <f>IF(J318="","",IF(J318=J317,"",J318))</f>
        <v/>
      </c>
      <c r="B318" s="6">
        <f>IF(K318="","",IF(K318=K317,"",K318))</f>
        <v/>
      </c>
      <c r="C318" s="5">
        <f>IF(L318="","",IF(L318=L317,"",L318))</f>
        <v/>
      </c>
      <c r="D318" s="6">
        <f>IF(L318="","", SUBSTITUTE(M318," Floor","") &amp; " " &amp; CHOOSE(MIN((ROW()-1)-IFERROR(INDEX(Floors!$L$2:$L$201, MATCH(ROW()-1-0.0001, Floors!$L$2:$L$201, 1)), 0), 4), "North", "South", "East", "West"))</f>
        <v/>
      </c>
      <c r="E318" s="12" t="n"/>
      <c r="F318" s="12" t="n"/>
      <c r="G318" s="12" t="n"/>
      <c r="H318" s="16" t="n"/>
      <c r="I318" s="16" t="n"/>
      <c r="J318" s="15">
        <f>IF(ROW()-1&gt;SUM(Floors!$E$2:$E$201), "", INDEX(Floors!$F$2:$F$201, IFERROR(MATCH(ROW()-1-0.0001, Floors!$L$2:$L$201, 1), 0)+1))</f>
        <v/>
      </c>
      <c r="K318" s="15">
        <f>IF(ROW()-1&gt;SUM(Floors!$E$2:$E$201), "", INDEX(Floors!$H$2:$H$201, IFERROR(MATCH(ROW()-1-0.0001, Floors!$L$2:$L$201, 1), 0)+1))</f>
        <v/>
      </c>
      <c r="L318" s="14">
        <f>IF(ROW()-1&gt;SUM(Floors!$E$2:$E$201), "", INDEX(Floors!$D$2:$D$201, IFERROR(MATCH(ROW()-1-0.0001, Floors!$L$2:$L$201, 1), 0)+1))</f>
        <v/>
      </c>
      <c r="M318" s="15">
        <f>IF(ROW()-1&gt;SUM(Floors!$E$2:$E$201), "", INDEX(Floors!$K$2:$K$201, IFERROR(MATCH(ROW()-1-0.0001, Floors!$L$2:$L$201, 1), 0)+1))</f>
        <v/>
      </c>
    </row>
    <row r="319">
      <c r="A319" s="6">
        <f>IF(J319="","",IF(J319=J318,"",J319))</f>
        <v/>
      </c>
      <c r="B319" s="6">
        <f>IF(K319="","",IF(K319=K318,"",K319))</f>
        <v/>
      </c>
      <c r="C319" s="5">
        <f>IF(L319="","",IF(L319=L318,"",L319))</f>
        <v/>
      </c>
      <c r="D319" s="6">
        <f>IF(L319="","", SUBSTITUTE(M319," Floor","") &amp; " " &amp; CHOOSE(MIN((ROW()-1)-IFERROR(INDEX(Floors!$L$2:$L$201, MATCH(ROW()-1-0.0001, Floors!$L$2:$L$201, 1)), 0), 4), "North", "South", "East", "West"))</f>
        <v/>
      </c>
      <c r="E319" s="12" t="n"/>
      <c r="F319" s="12" t="n"/>
      <c r="G319" s="12" t="n"/>
      <c r="H319" s="16" t="n"/>
      <c r="I319" s="16" t="n"/>
      <c r="J319" s="15">
        <f>IF(ROW()-1&gt;SUM(Floors!$E$2:$E$201), "", INDEX(Floors!$F$2:$F$201, IFERROR(MATCH(ROW()-1-0.0001, Floors!$L$2:$L$201, 1), 0)+1))</f>
        <v/>
      </c>
      <c r="K319" s="15">
        <f>IF(ROW()-1&gt;SUM(Floors!$E$2:$E$201), "", INDEX(Floors!$H$2:$H$201, IFERROR(MATCH(ROW()-1-0.0001, Floors!$L$2:$L$201, 1), 0)+1))</f>
        <v/>
      </c>
      <c r="L319" s="14">
        <f>IF(ROW()-1&gt;SUM(Floors!$E$2:$E$201), "", INDEX(Floors!$D$2:$D$201, IFERROR(MATCH(ROW()-1-0.0001, Floors!$L$2:$L$201, 1), 0)+1))</f>
        <v/>
      </c>
      <c r="M319" s="15">
        <f>IF(ROW()-1&gt;SUM(Floors!$E$2:$E$201), "", INDEX(Floors!$K$2:$K$201, IFERROR(MATCH(ROW()-1-0.0001, Floors!$L$2:$L$201, 1), 0)+1))</f>
        <v/>
      </c>
    </row>
    <row r="320">
      <c r="A320" s="6">
        <f>IF(J320="","",IF(J320=J319,"",J320))</f>
        <v/>
      </c>
      <c r="B320" s="6">
        <f>IF(K320="","",IF(K320=K319,"",K320))</f>
        <v/>
      </c>
      <c r="C320" s="5">
        <f>IF(L320="","",IF(L320=L319,"",L320))</f>
        <v/>
      </c>
      <c r="D320" s="6">
        <f>IF(L320="","", SUBSTITUTE(M320," Floor","") &amp; " " &amp; CHOOSE(MIN((ROW()-1)-IFERROR(INDEX(Floors!$L$2:$L$201, MATCH(ROW()-1-0.0001, Floors!$L$2:$L$201, 1)), 0), 4), "North", "South", "East", "West"))</f>
        <v/>
      </c>
      <c r="E320" s="12" t="n"/>
      <c r="F320" s="12" t="n"/>
      <c r="G320" s="12" t="n"/>
      <c r="H320" s="16" t="n"/>
      <c r="I320" s="16" t="n"/>
      <c r="J320" s="15">
        <f>IF(ROW()-1&gt;SUM(Floors!$E$2:$E$201), "", INDEX(Floors!$F$2:$F$201, IFERROR(MATCH(ROW()-1-0.0001, Floors!$L$2:$L$201, 1), 0)+1))</f>
        <v/>
      </c>
      <c r="K320" s="15">
        <f>IF(ROW()-1&gt;SUM(Floors!$E$2:$E$201), "", INDEX(Floors!$H$2:$H$201, IFERROR(MATCH(ROW()-1-0.0001, Floors!$L$2:$L$201, 1), 0)+1))</f>
        <v/>
      </c>
      <c r="L320" s="14">
        <f>IF(ROW()-1&gt;SUM(Floors!$E$2:$E$201), "", INDEX(Floors!$D$2:$D$201, IFERROR(MATCH(ROW()-1-0.0001, Floors!$L$2:$L$201, 1), 0)+1))</f>
        <v/>
      </c>
      <c r="M320" s="15">
        <f>IF(ROW()-1&gt;SUM(Floors!$E$2:$E$201), "", INDEX(Floors!$K$2:$K$201, IFERROR(MATCH(ROW()-1-0.0001, Floors!$L$2:$L$201, 1), 0)+1))</f>
        <v/>
      </c>
    </row>
    <row r="321">
      <c r="A321" s="6">
        <f>IF(J321="","",IF(J321=J320,"",J321))</f>
        <v/>
      </c>
      <c r="B321" s="6">
        <f>IF(K321="","",IF(K321=K320,"",K321))</f>
        <v/>
      </c>
      <c r="C321" s="5">
        <f>IF(L321="","",IF(L321=L320,"",L321))</f>
        <v/>
      </c>
      <c r="D321" s="6">
        <f>IF(L321="","", SUBSTITUTE(M321," Floor","") &amp; " " &amp; CHOOSE(MIN((ROW()-1)-IFERROR(INDEX(Floors!$L$2:$L$201, MATCH(ROW()-1-0.0001, Floors!$L$2:$L$201, 1)), 0), 4), "North", "South", "East", "West"))</f>
        <v/>
      </c>
      <c r="E321" s="12" t="n"/>
      <c r="F321" s="12" t="n"/>
      <c r="G321" s="12" t="n"/>
      <c r="H321" s="16" t="n"/>
      <c r="I321" s="16" t="n"/>
      <c r="J321" s="15">
        <f>IF(ROW()-1&gt;SUM(Floors!$E$2:$E$201), "", INDEX(Floors!$F$2:$F$201, IFERROR(MATCH(ROW()-1-0.0001, Floors!$L$2:$L$201, 1), 0)+1))</f>
        <v/>
      </c>
      <c r="K321" s="15">
        <f>IF(ROW()-1&gt;SUM(Floors!$E$2:$E$201), "", INDEX(Floors!$H$2:$H$201, IFERROR(MATCH(ROW()-1-0.0001, Floors!$L$2:$L$201, 1), 0)+1))</f>
        <v/>
      </c>
      <c r="L321" s="14">
        <f>IF(ROW()-1&gt;SUM(Floors!$E$2:$E$201), "", INDEX(Floors!$D$2:$D$201, IFERROR(MATCH(ROW()-1-0.0001, Floors!$L$2:$L$201, 1), 0)+1))</f>
        <v/>
      </c>
      <c r="M321" s="15">
        <f>IF(ROW()-1&gt;SUM(Floors!$E$2:$E$201), "", INDEX(Floors!$K$2:$K$201, IFERROR(MATCH(ROW()-1-0.0001, Floors!$L$2:$L$201, 1), 0)+1))</f>
        <v/>
      </c>
    </row>
    <row r="322">
      <c r="A322" s="6">
        <f>IF(J322="","",IF(J322=J321,"",J322))</f>
        <v/>
      </c>
      <c r="B322" s="6">
        <f>IF(K322="","",IF(K322=K321,"",K322))</f>
        <v/>
      </c>
      <c r="C322" s="5">
        <f>IF(L322="","",IF(L322=L321,"",L322))</f>
        <v/>
      </c>
      <c r="D322" s="6">
        <f>IF(L322="","", SUBSTITUTE(M322," Floor","") &amp; " " &amp; CHOOSE(MIN((ROW()-1)-IFERROR(INDEX(Floors!$L$2:$L$201, MATCH(ROW()-1-0.0001, Floors!$L$2:$L$201, 1)), 0), 4), "North", "South", "East", "West"))</f>
        <v/>
      </c>
      <c r="E322" s="12" t="n"/>
      <c r="F322" s="12" t="n"/>
      <c r="G322" s="12" t="n"/>
      <c r="H322" s="16" t="n"/>
      <c r="I322" s="16" t="n"/>
      <c r="J322" s="15">
        <f>IF(ROW()-1&gt;SUM(Floors!$E$2:$E$201), "", INDEX(Floors!$F$2:$F$201, IFERROR(MATCH(ROW()-1-0.0001, Floors!$L$2:$L$201, 1), 0)+1))</f>
        <v/>
      </c>
      <c r="K322" s="15">
        <f>IF(ROW()-1&gt;SUM(Floors!$E$2:$E$201), "", INDEX(Floors!$H$2:$H$201, IFERROR(MATCH(ROW()-1-0.0001, Floors!$L$2:$L$201, 1), 0)+1))</f>
        <v/>
      </c>
      <c r="L322" s="14">
        <f>IF(ROW()-1&gt;SUM(Floors!$E$2:$E$201), "", INDEX(Floors!$D$2:$D$201, IFERROR(MATCH(ROW()-1-0.0001, Floors!$L$2:$L$201, 1), 0)+1))</f>
        <v/>
      </c>
      <c r="M322" s="15">
        <f>IF(ROW()-1&gt;SUM(Floors!$E$2:$E$201), "", INDEX(Floors!$K$2:$K$201, IFERROR(MATCH(ROW()-1-0.0001, Floors!$L$2:$L$201, 1), 0)+1))</f>
        <v/>
      </c>
    </row>
    <row r="323">
      <c r="A323" s="6">
        <f>IF(J323="","",IF(J323=J322,"",J323))</f>
        <v/>
      </c>
      <c r="B323" s="6">
        <f>IF(K323="","",IF(K323=K322,"",K323))</f>
        <v/>
      </c>
      <c r="C323" s="5">
        <f>IF(L323="","",IF(L323=L322,"",L323))</f>
        <v/>
      </c>
      <c r="D323" s="6">
        <f>IF(L323="","", SUBSTITUTE(M323," Floor","") &amp; " " &amp; CHOOSE(MIN((ROW()-1)-IFERROR(INDEX(Floors!$L$2:$L$201, MATCH(ROW()-1-0.0001, Floors!$L$2:$L$201, 1)), 0), 4), "North", "South", "East", "West"))</f>
        <v/>
      </c>
      <c r="E323" s="12" t="n"/>
      <c r="F323" s="12" t="n"/>
      <c r="G323" s="12" t="n"/>
      <c r="H323" s="16" t="n"/>
      <c r="I323" s="16" t="n"/>
      <c r="J323" s="15">
        <f>IF(ROW()-1&gt;SUM(Floors!$E$2:$E$201), "", INDEX(Floors!$F$2:$F$201, IFERROR(MATCH(ROW()-1-0.0001, Floors!$L$2:$L$201, 1), 0)+1))</f>
        <v/>
      </c>
      <c r="K323" s="15">
        <f>IF(ROW()-1&gt;SUM(Floors!$E$2:$E$201), "", INDEX(Floors!$H$2:$H$201, IFERROR(MATCH(ROW()-1-0.0001, Floors!$L$2:$L$201, 1), 0)+1))</f>
        <v/>
      </c>
      <c r="L323" s="14">
        <f>IF(ROW()-1&gt;SUM(Floors!$E$2:$E$201), "", INDEX(Floors!$D$2:$D$201, IFERROR(MATCH(ROW()-1-0.0001, Floors!$L$2:$L$201, 1), 0)+1))</f>
        <v/>
      </c>
      <c r="M323" s="15">
        <f>IF(ROW()-1&gt;SUM(Floors!$E$2:$E$201), "", INDEX(Floors!$K$2:$K$201, IFERROR(MATCH(ROW()-1-0.0001, Floors!$L$2:$L$201, 1), 0)+1))</f>
        <v/>
      </c>
    </row>
    <row r="324">
      <c r="A324" s="6">
        <f>IF(J324="","",IF(J324=J323,"",J324))</f>
        <v/>
      </c>
      <c r="B324" s="6">
        <f>IF(K324="","",IF(K324=K323,"",K324))</f>
        <v/>
      </c>
      <c r="C324" s="5">
        <f>IF(L324="","",IF(L324=L323,"",L324))</f>
        <v/>
      </c>
      <c r="D324" s="6">
        <f>IF(L324="","", SUBSTITUTE(M324," Floor","") &amp; " " &amp; CHOOSE(MIN((ROW()-1)-IFERROR(INDEX(Floors!$L$2:$L$201, MATCH(ROW()-1-0.0001, Floors!$L$2:$L$201, 1)), 0), 4), "North", "South", "East", "West"))</f>
        <v/>
      </c>
      <c r="E324" s="12" t="n"/>
      <c r="F324" s="12" t="n"/>
      <c r="G324" s="12" t="n"/>
      <c r="H324" s="16" t="n"/>
      <c r="I324" s="16" t="n"/>
      <c r="J324" s="15">
        <f>IF(ROW()-1&gt;SUM(Floors!$E$2:$E$201), "", INDEX(Floors!$F$2:$F$201, IFERROR(MATCH(ROW()-1-0.0001, Floors!$L$2:$L$201, 1), 0)+1))</f>
        <v/>
      </c>
      <c r="K324" s="15">
        <f>IF(ROW()-1&gt;SUM(Floors!$E$2:$E$201), "", INDEX(Floors!$H$2:$H$201, IFERROR(MATCH(ROW()-1-0.0001, Floors!$L$2:$L$201, 1), 0)+1))</f>
        <v/>
      </c>
      <c r="L324" s="14">
        <f>IF(ROW()-1&gt;SUM(Floors!$E$2:$E$201), "", INDEX(Floors!$D$2:$D$201, IFERROR(MATCH(ROW()-1-0.0001, Floors!$L$2:$L$201, 1), 0)+1))</f>
        <v/>
      </c>
      <c r="M324" s="15">
        <f>IF(ROW()-1&gt;SUM(Floors!$E$2:$E$201), "", INDEX(Floors!$K$2:$K$201, IFERROR(MATCH(ROW()-1-0.0001, Floors!$L$2:$L$201, 1), 0)+1))</f>
        <v/>
      </c>
    </row>
    <row r="325">
      <c r="A325" s="6">
        <f>IF(J325="","",IF(J325=J324,"",J325))</f>
        <v/>
      </c>
      <c r="B325" s="6">
        <f>IF(K325="","",IF(K325=K324,"",K325))</f>
        <v/>
      </c>
      <c r="C325" s="5">
        <f>IF(L325="","",IF(L325=L324,"",L325))</f>
        <v/>
      </c>
      <c r="D325" s="6">
        <f>IF(L325="","", SUBSTITUTE(M325," Floor","") &amp; " " &amp; CHOOSE(MIN((ROW()-1)-IFERROR(INDEX(Floors!$L$2:$L$201, MATCH(ROW()-1-0.0001, Floors!$L$2:$L$201, 1)), 0), 4), "North", "South", "East", "West"))</f>
        <v/>
      </c>
      <c r="E325" s="12" t="n"/>
      <c r="F325" s="12" t="n"/>
      <c r="G325" s="12" t="n"/>
      <c r="H325" s="16" t="n"/>
      <c r="I325" s="16" t="n"/>
      <c r="J325" s="15">
        <f>IF(ROW()-1&gt;SUM(Floors!$E$2:$E$201), "", INDEX(Floors!$F$2:$F$201, IFERROR(MATCH(ROW()-1-0.0001, Floors!$L$2:$L$201, 1), 0)+1))</f>
        <v/>
      </c>
      <c r="K325" s="15">
        <f>IF(ROW()-1&gt;SUM(Floors!$E$2:$E$201), "", INDEX(Floors!$H$2:$H$201, IFERROR(MATCH(ROW()-1-0.0001, Floors!$L$2:$L$201, 1), 0)+1))</f>
        <v/>
      </c>
      <c r="L325" s="14">
        <f>IF(ROW()-1&gt;SUM(Floors!$E$2:$E$201), "", INDEX(Floors!$D$2:$D$201, IFERROR(MATCH(ROW()-1-0.0001, Floors!$L$2:$L$201, 1), 0)+1))</f>
        <v/>
      </c>
      <c r="M325" s="15">
        <f>IF(ROW()-1&gt;SUM(Floors!$E$2:$E$201), "", INDEX(Floors!$K$2:$K$201, IFERROR(MATCH(ROW()-1-0.0001, Floors!$L$2:$L$201, 1), 0)+1))</f>
        <v/>
      </c>
    </row>
    <row r="326">
      <c r="A326" s="6">
        <f>IF(J326="","",IF(J326=J325,"",J326))</f>
        <v/>
      </c>
      <c r="B326" s="6">
        <f>IF(K326="","",IF(K326=K325,"",K326))</f>
        <v/>
      </c>
      <c r="C326" s="5">
        <f>IF(L326="","",IF(L326=L325,"",L326))</f>
        <v/>
      </c>
      <c r="D326" s="6">
        <f>IF(L326="","", SUBSTITUTE(M326," Floor","") &amp; " " &amp; CHOOSE(MIN((ROW()-1)-IFERROR(INDEX(Floors!$L$2:$L$201, MATCH(ROW()-1-0.0001, Floors!$L$2:$L$201, 1)), 0), 4), "North", "South", "East", "West"))</f>
        <v/>
      </c>
      <c r="E326" s="12" t="n"/>
      <c r="F326" s="12" t="n"/>
      <c r="G326" s="12" t="n"/>
      <c r="H326" s="16" t="n"/>
      <c r="I326" s="16" t="n"/>
      <c r="J326" s="15">
        <f>IF(ROW()-1&gt;SUM(Floors!$E$2:$E$201), "", INDEX(Floors!$F$2:$F$201, IFERROR(MATCH(ROW()-1-0.0001, Floors!$L$2:$L$201, 1), 0)+1))</f>
        <v/>
      </c>
      <c r="K326" s="15">
        <f>IF(ROW()-1&gt;SUM(Floors!$E$2:$E$201), "", INDEX(Floors!$H$2:$H$201, IFERROR(MATCH(ROW()-1-0.0001, Floors!$L$2:$L$201, 1), 0)+1))</f>
        <v/>
      </c>
      <c r="L326" s="14">
        <f>IF(ROW()-1&gt;SUM(Floors!$E$2:$E$201), "", INDEX(Floors!$D$2:$D$201, IFERROR(MATCH(ROW()-1-0.0001, Floors!$L$2:$L$201, 1), 0)+1))</f>
        <v/>
      </c>
      <c r="M326" s="15">
        <f>IF(ROW()-1&gt;SUM(Floors!$E$2:$E$201), "", INDEX(Floors!$K$2:$K$201, IFERROR(MATCH(ROW()-1-0.0001, Floors!$L$2:$L$201, 1), 0)+1))</f>
        <v/>
      </c>
    </row>
    <row r="327">
      <c r="A327" s="6">
        <f>IF(J327="","",IF(J327=J326,"",J327))</f>
        <v/>
      </c>
      <c r="B327" s="6">
        <f>IF(K327="","",IF(K327=K326,"",K327))</f>
        <v/>
      </c>
      <c r="C327" s="5">
        <f>IF(L327="","",IF(L327=L326,"",L327))</f>
        <v/>
      </c>
      <c r="D327" s="6">
        <f>IF(L327="","", SUBSTITUTE(M327," Floor","") &amp; " " &amp; CHOOSE(MIN((ROW()-1)-IFERROR(INDEX(Floors!$L$2:$L$201, MATCH(ROW()-1-0.0001, Floors!$L$2:$L$201, 1)), 0), 4), "North", "South", "East", "West"))</f>
        <v/>
      </c>
      <c r="E327" s="12" t="n"/>
      <c r="F327" s="12" t="n"/>
      <c r="G327" s="12" t="n"/>
      <c r="H327" s="16" t="n"/>
      <c r="I327" s="16" t="n"/>
      <c r="J327" s="15">
        <f>IF(ROW()-1&gt;SUM(Floors!$E$2:$E$201), "", INDEX(Floors!$F$2:$F$201, IFERROR(MATCH(ROW()-1-0.0001, Floors!$L$2:$L$201, 1), 0)+1))</f>
        <v/>
      </c>
      <c r="K327" s="15">
        <f>IF(ROW()-1&gt;SUM(Floors!$E$2:$E$201), "", INDEX(Floors!$H$2:$H$201, IFERROR(MATCH(ROW()-1-0.0001, Floors!$L$2:$L$201, 1), 0)+1))</f>
        <v/>
      </c>
      <c r="L327" s="14">
        <f>IF(ROW()-1&gt;SUM(Floors!$E$2:$E$201), "", INDEX(Floors!$D$2:$D$201, IFERROR(MATCH(ROW()-1-0.0001, Floors!$L$2:$L$201, 1), 0)+1))</f>
        <v/>
      </c>
      <c r="M327" s="15">
        <f>IF(ROW()-1&gt;SUM(Floors!$E$2:$E$201), "", INDEX(Floors!$K$2:$K$201, IFERROR(MATCH(ROW()-1-0.0001, Floors!$L$2:$L$201, 1), 0)+1))</f>
        <v/>
      </c>
    </row>
    <row r="328">
      <c r="A328" s="6">
        <f>IF(J328="","",IF(J328=J327,"",J328))</f>
        <v/>
      </c>
      <c r="B328" s="6">
        <f>IF(K328="","",IF(K328=K327,"",K328))</f>
        <v/>
      </c>
      <c r="C328" s="5">
        <f>IF(L328="","",IF(L328=L327,"",L328))</f>
        <v/>
      </c>
      <c r="D328" s="6">
        <f>IF(L328="","", SUBSTITUTE(M328," Floor","") &amp; " " &amp; CHOOSE(MIN((ROW()-1)-IFERROR(INDEX(Floors!$L$2:$L$201, MATCH(ROW()-1-0.0001, Floors!$L$2:$L$201, 1)), 0), 4), "North", "South", "East", "West"))</f>
        <v/>
      </c>
      <c r="E328" s="12" t="n"/>
      <c r="F328" s="12" t="n"/>
      <c r="G328" s="12" t="n"/>
      <c r="H328" s="16" t="n"/>
      <c r="I328" s="16" t="n"/>
      <c r="J328" s="15">
        <f>IF(ROW()-1&gt;SUM(Floors!$E$2:$E$201), "", INDEX(Floors!$F$2:$F$201, IFERROR(MATCH(ROW()-1-0.0001, Floors!$L$2:$L$201, 1), 0)+1))</f>
        <v/>
      </c>
      <c r="K328" s="15">
        <f>IF(ROW()-1&gt;SUM(Floors!$E$2:$E$201), "", INDEX(Floors!$H$2:$H$201, IFERROR(MATCH(ROW()-1-0.0001, Floors!$L$2:$L$201, 1), 0)+1))</f>
        <v/>
      </c>
      <c r="L328" s="14">
        <f>IF(ROW()-1&gt;SUM(Floors!$E$2:$E$201), "", INDEX(Floors!$D$2:$D$201, IFERROR(MATCH(ROW()-1-0.0001, Floors!$L$2:$L$201, 1), 0)+1))</f>
        <v/>
      </c>
      <c r="M328" s="15">
        <f>IF(ROW()-1&gt;SUM(Floors!$E$2:$E$201), "", INDEX(Floors!$K$2:$K$201, IFERROR(MATCH(ROW()-1-0.0001, Floors!$L$2:$L$201, 1), 0)+1))</f>
        <v/>
      </c>
    </row>
    <row r="329">
      <c r="A329" s="6">
        <f>IF(J329="","",IF(J329=J328,"",J329))</f>
        <v/>
      </c>
      <c r="B329" s="6">
        <f>IF(K329="","",IF(K329=K328,"",K329))</f>
        <v/>
      </c>
      <c r="C329" s="5">
        <f>IF(L329="","",IF(L329=L328,"",L329))</f>
        <v/>
      </c>
      <c r="D329" s="6">
        <f>IF(L329="","", SUBSTITUTE(M329," Floor","") &amp; " " &amp; CHOOSE(MIN((ROW()-1)-IFERROR(INDEX(Floors!$L$2:$L$201, MATCH(ROW()-1-0.0001, Floors!$L$2:$L$201, 1)), 0), 4), "North", "South", "East", "West"))</f>
        <v/>
      </c>
      <c r="E329" s="12" t="n"/>
      <c r="F329" s="12" t="n"/>
      <c r="G329" s="12" t="n"/>
      <c r="H329" s="16" t="n"/>
      <c r="I329" s="16" t="n"/>
      <c r="J329" s="15">
        <f>IF(ROW()-1&gt;SUM(Floors!$E$2:$E$201), "", INDEX(Floors!$F$2:$F$201, IFERROR(MATCH(ROW()-1-0.0001, Floors!$L$2:$L$201, 1), 0)+1))</f>
        <v/>
      </c>
      <c r="K329" s="15">
        <f>IF(ROW()-1&gt;SUM(Floors!$E$2:$E$201), "", INDEX(Floors!$H$2:$H$201, IFERROR(MATCH(ROW()-1-0.0001, Floors!$L$2:$L$201, 1), 0)+1))</f>
        <v/>
      </c>
      <c r="L329" s="14">
        <f>IF(ROW()-1&gt;SUM(Floors!$E$2:$E$201), "", INDEX(Floors!$D$2:$D$201, IFERROR(MATCH(ROW()-1-0.0001, Floors!$L$2:$L$201, 1), 0)+1))</f>
        <v/>
      </c>
      <c r="M329" s="15">
        <f>IF(ROW()-1&gt;SUM(Floors!$E$2:$E$201), "", INDEX(Floors!$K$2:$K$201, IFERROR(MATCH(ROW()-1-0.0001, Floors!$L$2:$L$201, 1), 0)+1))</f>
        <v/>
      </c>
    </row>
    <row r="330">
      <c r="A330" s="6">
        <f>IF(J330="","",IF(J330=J329,"",J330))</f>
        <v/>
      </c>
      <c r="B330" s="6">
        <f>IF(K330="","",IF(K330=K329,"",K330))</f>
        <v/>
      </c>
      <c r="C330" s="5">
        <f>IF(L330="","",IF(L330=L329,"",L330))</f>
        <v/>
      </c>
      <c r="D330" s="6">
        <f>IF(L330="","", SUBSTITUTE(M330," Floor","") &amp; " " &amp; CHOOSE(MIN((ROW()-1)-IFERROR(INDEX(Floors!$L$2:$L$201, MATCH(ROW()-1-0.0001, Floors!$L$2:$L$201, 1)), 0), 4), "North", "South", "East", "West"))</f>
        <v/>
      </c>
      <c r="E330" s="12" t="n"/>
      <c r="F330" s="12" t="n"/>
      <c r="G330" s="12" t="n"/>
      <c r="H330" s="16" t="n"/>
      <c r="I330" s="16" t="n"/>
      <c r="J330" s="15">
        <f>IF(ROW()-1&gt;SUM(Floors!$E$2:$E$201), "", INDEX(Floors!$F$2:$F$201, IFERROR(MATCH(ROW()-1-0.0001, Floors!$L$2:$L$201, 1), 0)+1))</f>
        <v/>
      </c>
      <c r="K330" s="15">
        <f>IF(ROW()-1&gt;SUM(Floors!$E$2:$E$201), "", INDEX(Floors!$H$2:$H$201, IFERROR(MATCH(ROW()-1-0.0001, Floors!$L$2:$L$201, 1), 0)+1))</f>
        <v/>
      </c>
      <c r="L330" s="14">
        <f>IF(ROW()-1&gt;SUM(Floors!$E$2:$E$201), "", INDEX(Floors!$D$2:$D$201, IFERROR(MATCH(ROW()-1-0.0001, Floors!$L$2:$L$201, 1), 0)+1))</f>
        <v/>
      </c>
      <c r="M330" s="15">
        <f>IF(ROW()-1&gt;SUM(Floors!$E$2:$E$201), "", INDEX(Floors!$K$2:$K$201, IFERROR(MATCH(ROW()-1-0.0001, Floors!$L$2:$L$201, 1), 0)+1))</f>
        <v/>
      </c>
    </row>
    <row r="331">
      <c r="A331" s="6">
        <f>IF(J331="","",IF(J331=J330,"",J331))</f>
        <v/>
      </c>
      <c r="B331" s="6">
        <f>IF(K331="","",IF(K331=K330,"",K331))</f>
        <v/>
      </c>
      <c r="C331" s="5">
        <f>IF(L331="","",IF(L331=L330,"",L331))</f>
        <v/>
      </c>
      <c r="D331" s="6">
        <f>IF(L331="","", SUBSTITUTE(M331," Floor","") &amp; " " &amp; CHOOSE(MIN((ROW()-1)-IFERROR(INDEX(Floors!$L$2:$L$201, MATCH(ROW()-1-0.0001, Floors!$L$2:$L$201, 1)), 0), 4), "North", "South", "East", "West"))</f>
        <v/>
      </c>
      <c r="E331" s="12" t="n"/>
      <c r="F331" s="12" t="n"/>
      <c r="G331" s="12" t="n"/>
      <c r="H331" s="16" t="n"/>
      <c r="I331" s="16" t="n"/>
      <c r="J331" s="15">
        <f>IF(ROW()-1&gt;SUM(Floors!$E$2:$E$201), "", INDEX(Floors!$F$2:$F$201, IFERROR(MATCH(ROW()-1-0.0001, Floors!$L$2:$L$201, 1), 0)+1))</f>
        <v/>
      </c>
      <c r="K331" s="15">
        <f>IF(ROW()-1&gt;SUM(Floors!$E$2:$E$201), "", INDEX(Floors!$H$2:$H$201, IFERROR(MATCH(ROW()-1-0.0001, Floors!$L$2:$L$201, 1), 0)+1))</f>
        <v/>
      </c>
      <c r="L331" s="14">
        <f>IF(ROW()-1&gt;SUM(Floors!$E$2:$E$201), "", INDEX(Floors!$D$2:$D$201, IFERROR(MATCH(ROW()-1-0.0001, Floors!$L$2:$L$201, 1), 0)+1))</f>
        <v/>
      </c>
      <c r="M331" s="15">
        <f>IF(ROW()-1&gt;SUM(Floors!$E$2:$E$201), "", INDEX(Floors!$K$2:$K$201, IFERROR(MATCH(ROW()-1-0.0001, Floors!$L$2:$L$201, 1), 0)+1))</f>
        <v/>
      </c>
    </row>
    <row r="332">
      <c r="A332" s="6">
        <f>IF(J332="","",IF(J332=J331,"",J332))</f>
        <v/>
      </c>
      <c r="B332" s="6">
        <f>IF(K332="","",IF(K332=K331,"",K332))</f>
        <v/>
      </c>
      <c r="C332" s="5">
        <f>IF(L332="","",IF(L332=L331,"",L332))</f>
        <v/>
      </c>
      <c r="D332" s="6">
        <f>IF(L332="","", SUBSTITUTE(M332," Floor","") &amp; " " &amp; CHOOSE(MIN((ROW()-1)-IFERROR(INDEX(Floors!$L$2:$L$201, MATCH(ROW()-1-0.0001, Floors!$L$2:$L$201, 1)), 0), 4), "North", "South", "East", "West"))</f>
        <v/>
      </c>
      <c r="E332" s="12" t="n"/>
      <c r="F332" s="12" t="n"/>
      <c r="G332" s="12" t="n"/>
      <c r="H332" s="16" t="n"/>
      <c r="I332" s="16" t="n"/>
      <c r="J332" s="15">
        <f>IF(ROW()-1&gt;SUM(Floors!$E$2:$E$201), "", INDEX(Floors!$F$2:$F$201, IFERROR(MATCH(ROW()-1-0.0001, Floors!$L$2:$L$201, 1), 0)+1))</f>
        <v/>
      </c>
      <c r="K332" s="15">
        <f>IF(ROW()-1&gt;SUM(Floors!$E$2:$E$201), "", INDEX(Floors!$H$2:$H$201, IFERROR(MATCH(ROW()-1-0.0001, Floors!$L$2:$L$201, 1), 0)+1))</f>
        <v/>
      </c>
      <c r="L332" s="14">
        <f>IF(ROW()-1&gt;SUM(Floors!$E$2:$E$201), "", INDEX(Floors!$D$2:$D$201, IFERROR(MATCH(ROW()-1-0.0001, Floors!$L$2:$L$201, 1), 0)+1))</f>
        <v/>
      </c>
      <c r="M332" s="15">
        <f>IF(ROW()-1&gt;SUM(Floors!$E$2:$E$201), "", INDEX(Floors!$K$2:$K$201, IFERROR(MATCH(ROW()-1-0.0001, Floors!$L$2:$L$201, 1), 0)+1))</f>
        <v/>
      </c>
    </row>
    <row r="333">
      <c r="A333" s="6">
        <f>IF(J333="","",IF(J333=J332,"",J333))</f>
        <v/>
      </c>
      <c r="B333" s="6">
        <f>IF(K333="","",IF(K333=K332,"",K333))</f>
        <v/>
      </c>
      <c r="C333" s="5">
        <f>IF(L333="","",IF(L333=L332,"",L333))</f>
        <v/>
      </c>
      <c r="D333" s="6">
        <f>IF(L333="","", SUBSTITUTE(M333," Floor","") &amp; " " &amp; CHOOSE(MIN((ROW()-1)-IFERROR(INDEX(Floors!$L$2:$L$201, MATCH(ROW()-1-0.0001, Floors!$L$2:$L$201, 1)), 0), 4), "North", "South", "East", "West"))</f>
        <v/>
      </c>
      <c r="E333" s="12" t="n"/>
      <c r="F333" s="12" t="n"/>
      <c r="G333" s="12" t="n"/>
      <c r="H333" s="16" t="n"/>
      <c r="I333" s="16" t="n"/>
      <c r="J333" s="15">
        <f>IF(ROW()-1&gt;SUM(Floors!$E$2:$E$201), "", INDEX(Floors!$F$2:$F$201, IFERROR(MATCH(ROW()-1-0.0001, Floors!$L$2:$L$201, 1), 0)+1))</f>
        <v/>
      </c>
      <c r="K333" s="15">
        <f>IF(ROW()-1&gt;SUM(Floors!$E$2:$E$201), "", INDEX(Floors!$H$2:$H$201, IFERROR(MATCH(ROW()-1-0.0001, Floors!$L$2:$L$201, 1), 0)+1))</f>
        <v/>
      </c>
      <c r="L333" s="14">
        <f>IF(ROW()-1&gt;SUM(Floors!$E$2:$E$201), "", INDEX(Floors!$D$2:$D$201, IFERROR(MATCH(ROW()-1-0.0001, Floors!$L$2:$L$201, 1), 0)+1))</f>
        <v/>
      </c>
      <c r="M333" s="15">
        <f>IF(ROW()-1&gt;SUM(Floors!$E$2:$E$201), "", INDEX(Floors!$K$2:$K$201, IFERROR(MATCH(ROW()-1-0.0001, Floors!$L$2:$L$201, 1), 0)+1))</f>
        <v/>
      </c>
    </row>
    <row r="334">
      <c r="A334" s="6">
        <f>IF(J334="","",IF(J334=J333,"",J334))</f>
        <v/>
      </c>
      <c r="B334" s="6">
        <f>IF(K334="","",IF(K334=K333,"",K334))</f>
        <v/>
      </c>
      <c r="C334" s="5">
        <f>IF(L334="","",IF(L334=L333,"",L334))</f>
        <v/>
      </c>
      <c r="D334" s="6">
        <f>IF(L334="","", SUBSTITUTE(M334," Floor","") &amp; " " &amp; CHOOSE(MIN((ROW()-1)-IFERROR(INDEX(Floors!$L$2:$L$201, MATCH(ROW()-1-0.0001, Floors!$L$2:$L$201, 1)), 0), 4), "North", "South", "East", "West"))</f>
        <v/>
      </c>
      <c r="E334" s="12" t="n"/>
      <c r="F334" s="12" t="n"/>
      <c r="G334" s="12" t="n"/>
      <c r="H334" s="16" t="n"/>
      <c r="I334" s="16" t="n"/>
      <c r="J334" s="15">
        <f>IF(ROW()-1&gt;SUM(Floors!$E$2:$E$201), "", INDEX(Floors!$F$2:$F$201, IFERROR(MATCH(ROW()-1-0.0001, Floors!$L$2:$L$201, 1), 0)+1))</f>
        <v/>
      </c>
      <c r="K334" s="15">
        <f>IF(ROW()-1&gt;SUM(Floors!$E$2:$E$201), "", INDEX(Floors!$H$2:$H$201, IFERROR(MATCH(ROW()-1-0.0001, Floors!$L$2:$L$201, 1), 0)+1))</f>
        <v/>
      </c>
      <c r="L334" s="14">
        <f>IF(ROW()-1&gt;SUM(Floors!$E$2:$E$201), "", INDEX(Floors!$D$2:$D$201, IFERROR(MATCH(ROW()-1-0.0001, Floors!$L$2:$L$201, 1), 0)+1))</f>
        <v/>
      </c>
      <c r="M334" s="15">
        <f>IF(ROW()-1&gt;SUM(Floors!$E$2:$E$201), "", INDEX(Floors!$K$2:$K$201, IFERROR(MATCH(ROW()-1-0.0001, Floors!$L$2:$L$201, 1), 0)+1))</f>
        <v/>
      </c>
    </row>
    <row r="335">
      <c r="A335" s="6">
        <f>IF(J335="","",IF(J335=J334,"",J335))</f>
        <v/>
      </c>
      <c r="B335" s="6">
        <f>IF(K335="","",IF(K335=K334,"",K335))</f>
        <v/>
      </c>
      <c r="C335" s="5">
        <f>IF(L335="","",IF(L335=L334,"",L335))</f>
        <v/>
      </c>
      <c r="D335" s="6">
        <f>IF(L335="","", SUBSTITUTE(M335," Floor","") &amp; " " &amp; CHOOSE(MIN((ROW()-1)-IFERROR(INDEX(Floors!$L$2:$L$201, MATCH(ROW()-1-0.0001, Floors!$L$2:$L$201, 1)), 0), 4), "North", "South", "East", "West"))</f>
        <v/>
      </c>
      <c r="E335" s="12" t="n"/>
      <c r="F335" s="12" t="n"/>
      <c r="G335" s="12" t="n"/>
      <c r="H335" s="16" t="n"/>
      <c r="I335" s="16" t="n"/>
      <c r="J335" s="15">
        <f>IF(ROW()-1&gt;SUM(Floors!$E$2:$E$201), "", INDEX(Floors!$F$2:$F$201, IFERROR(MATCH(ROW()-1-0.0001, Floors!$L$2:$L$201, 1), 0)+1))</f>
        <v/>
      </c>
      <c r="K335" s="15">
        <f>IF(ROW()-1&gt;SUM(Floors!$E$2:$E$201), "", INDEX(Floors!$H$2:$H$201, IFERROR(MATCH(ROW()-1-0.0001, Floors!$L$2:$L$201, 1), 0)+1))</f>
        <v/>
      </c>
      <c r="L335" s="14">
        <f>IF(ROW()-1&gt;SUM(Floors!$E$2:$E$201), "", INDEX(Floors!$D$2:$D$201, IFERROR(MATCH(ROW()-1-0.0001, Floors!$L$2:$L$201, 1), 0)+1))</f>
        <v/>
      </c>
      <c r="M335" s="15">
        <f>IF(ROW()-1&gt;SUM(Floors!$E$2:$E$201), "", INDEX(Floors!$K$2:$K$201, IFERROR(MATCH(ROW()-1-0.0001, Floors!$L$2:$L$201, 1), 0)+1))</f>
        <v/>
      </c>
    </row>
    <row r="336">
      <c r="A336" s="6">
        <f>IF(J336="","",IF(J336=J335,"",J336))</f>
        <v/>
      </c>
      <c r="B336" s="6">
        <f>IF(K336="","",IF(K336=K335,"",K336))</f>
        <v/>
      </c>
      <c r="C336" s="5">
        <f>IF(L336="","",IF(L336=L335,"",L336))</f>
        <v/>
      </c>
      <c r="D336" s="6">
        <f>IF(L336="","", SUBSTITUTE(M336," Floor","") &amp; " " &amp; CHOOSE(MIN((ROW()-1)-IFERROR(INDEX(Floors!$L$2:$L$201, MATCH(ROW()-1-0.0001, Floors!$L$2:$L$201, 1)), 0), 4), "North", "South", "East", "West"))</f>
        <v/>
      </c>
      <c r="E336" s="12" t="n"/>
      <c r="F336" s="12" t="n"/>
      <c r="G336" s="12" t="n"/>
      <c r="H336" s="16" t="n"/>
      <c r="I336" s="16" t="n"/>
      <c r="J336" s="15">
        <f>IF(ROW()-1&gt;SUM(Floors!$E$2:$E$201), "", INDEX(Floors!$F$2:$F$201, IFERROR(MATCH(ROW()-1-0.0001, Floors!$L$2:$L$201, 1), 0)+1))</f>
        <v/>
      </c>
      <c r="K336" s="15">
        <f>IF(ROW()-1&gt;SUM(Floors!$E$2:$E$201), "", INDEX(Floors!$H$2:$H$201, IFERROR(MATCH(ROW()-1-0.0001, Floors!$L$2:$L$201, 1), 0)+1))</f>
        <v/>
      </c>
      <c r="L336" s="14">
        <f>IF(ROW()-1&gt;SUM(Floors!$E$2:$E$201), "", INDEX(Floors!$D$2:$D$201, IFERROR(MATCH(ROW()-1-0.0001, Floors!$L$2:$L$201, 1), 0)+1))</f>
        <v/>
      </c>
      <c r="M336" s="15">
        <f>IF(ROW()-1&gt;SUM(Floors!$E$2:$E$201), "", INDEX(Floors!$K$2:$K$201, IFERROR(MATCH(ROW()-1-0.0001, Floors!$L$2:$L$201, 1), 0)+1))</f>
        <v/>
      </c>
    </row>
    <row r="337">
      <c r="A337" s="6">
        <f>IF(J337="","",IF(J337=J336,"",J337))</f>
        <v/>
      </c>
      <c r="B337" s="6">
        <f>IF(K337="","",IF(K337=K336,"",K337))</f>
        <v/>
      </c>
      <c r="C337" s="5">
        <f>IF(L337="","",IF(L337=L336,"",L337))</f>
        <v/>
      </c>
      <c r="D337" s="6">
        <f>IF(L337="","", SUBSTITUTE(M337," Floor","") &amp; " " &amp; CHOOSE(MIN((ROW()-1)-IFERROR(INDEX(Floors!$L$2:$L$201, MATCH(ROW()-1-0.0001, Floors!$L$2:$L$201, 1)), 0), 4), "North", "South", "East", "West"))</f>
        <v/>
      </c>
      <c r="E337" s="12" t="n"/>
      <c r="F337" s="12" t="n"/>
      <c r="G337" s="12" t="n"/>
      <c r="H337" s="16" t="n"/>
      <c r="I337" s="16" t="n"/>
      <c r="J337" s="15">
        <f>IF(ROW()-1&gt;SUM(Floors!$E$2:$E$201), "", INDEX(Floors!$F$2:$F$201, IFERROR(MATCH(ROW()-1-0.0001, Floors!$L$2:$L$201, 1), 0)+1))</f>
        <v/>
      </c>
      <c r="K337" s="15">
        <f>IF(ROW()-1&gt;SUM(Floors!$E$2:$E$201), "", INDEX(Floors!$H$2:$H$201, IFERROR(MATCH(ROW()-1-0.0001, Floors!$L$2:$L$201, 1), 0)+1))</f>
        <v/>
      </c>
      <c r="L337" s="14">
        <f>IF(ROW()-1&gt;SUM(Floors!$E$2:$E$201), "", INDEX(Floors!$D$2:$D$201, IFERROR(MATCH(ROW()-1-0.0001, Floors!$L$2:$L$201, 1), 0)+1))</f>
        <v/>
      </c>
      <c r="M337" s="15">
        <f>IF(ROW()-1&gt;SUM(Floors!$E$2:$E$201), "", INDEX(Floors!$K$2:$K$201, IFERROR(MATCH(ROW()-1-0.0001, Floors!$L$2:$L$201, 1), 0)+1))</f>
        <v/>
      </c>
    </row>
    <row r="338">
      <c r="A338" s="6">
        <f>IF(J338="","",IF(J338=J337,"",J338))</f>
        <v/>
      </c>
      <c r="B338" s="6">
        <f>IF(K338="","",IF(K338=K337,"",K338))</f>
        <v/>
      </c>
      <c r="C338" s="5">
        <f>IF(L338="","",IF(L338=L337,"",L338))</f>
        <v/>
      </c>
      <c r="D338" s="6">
        <f>IF(L338="","", SUBSTITUTE(M338," Floor","") &amp; " " &amp; CHOOSE(MIN((ROW()-1)-IFERROR(INDEX(Floors!$L$2:$L$201, MATCH(ROW()-1-0.0001, Floors!$L$2:$L$201, 1)), 0), 4), "North", "South", "East", "West"))</f>
        <v/>
      </c>
      <c r="E338" s="12" t="n"/>
      <c r="F338" s="12" t="n"/>
      <c r="G338" s="12" t="n"/>
      <c r="H338" s="16" t="n"/>
      <c r="I338" s="16" t="n"/>
      <c r="J338" s="15">
        <f>IF(ROW()-1&gt;SUM(Floors!$E$2:$E$201), "", INDEX(Floors!$F$2:$F$201, IFERROR(MATCH(ROW()-1-0.0001, Floors!$L$2:$L$201, 1), 0)+1))</f>
        <v/>
      </c>
      <c r="K338" s="15">
        <f>IF(ROW()-1&gt;SUM(Floors!$E$2:$E$201), "", INDEX(Floors!$H$2:$H$201, IFERROR(MATCH(ROW()-1-0.0001, Floors!$L$2:$L$201, 1), 0)+1))</f>
        <v/>
      </c>
      <c r="L338" s="14">
        <f>IF(ROW()-1&gt;SUM(Floors!$E$2:$E$201), "", INDEX(Floors!$D$2:$D$201, IFERROR(MATCH(ROW()-1-0.0001, Floors!$L$2:$L$201, 1), 0)+1))</f>
        <v/>
      </c>
      <c r="M338" s="15">
        <f>IF(ROW()-1&gt;SUM(Floors!$E$2:$E$201), "", INDEX(Floors!$K$2:$K$201, IFERROR(MATCH(ROW()-1-0.0001, Floors!$L$2:$L$201, 1), 0)+1))</f>
        <v/>
      </c>
    </row>
    <row r="339">
      <c r="A339" s="6">
        <f>IF(J339="","",IF(J339=J338,"",J339))</f>
        <v/>
      </c>
      <c r="B339" s="6">
        <f>IF(K339="","",IF(K339=K338,"",K339))</f>
        <v/>
      </c>
      <c r="C339" s="5">
        <f>IF(L339="","",IF(L339=L338,"",L339))</f>
        <v/>
      </c>
      <c r="D339" s="6">
        <f>IF(L339="","", SUBSTITUTE(M339," Floor","") &amp; " " &amp; CHOOSE(MIN((ROW()-1)-IFERROR(INDEX(Floors!$L$2:$L$201, MATCH(ROW()-1-0.0001, Floors!$L$2:$L$201, 1)), 0), 4), "North", "South", "East", "West"))</f>
        <v/>
      </c>
      <c r="E339" s="12" t="n"/>
      <c r="F339" s="12" t="n"/>
      <c r="G339" s="12" t="n"/>
      <c r="H339" s="16" t="n"/>
      <c r="I339" s="16" t="n"/>
      <c r="J339" s="15">
        <f>IF(ROW()-1&gt;SUM(Floors!$E$2:$E$201), "", INDEX(Floors!$F$2:$F$201, IFERROR(MATCH(ROW()-1-0.0001, Floors!$L$2:$L$201, 1), 0)+1))</f>
        <v/>
      </c>
      <c r="K339" s="15">
        <f>IF(ROW()-1&gt;SUM(Floors!$E$2:$E$201), "", INDEX(Floors!$H$2:$H$201, IFERROR(MATCH(ROW()-1-0.0001, Floors!$L$2:$L$201, 1), 0)+1))</f>
        <v/>
      </c>
      <c r="L339" s="14">
        <f>IF(ROW()-1&gt;SUM(Floors!$E$2:$E$201), "", INDEX(Floors!$D$2:$D$201, IFERROR(MATCH(ROW()-1-0.0001, Floors!$L$2:$L$201, 1), 0)+1))</f>
        <v/>
      </c>
      <c r="M339" s="15">
        <f>IF(ROW()-1&gt;SUM(Floors!$E$2:$E$201), "", INDEX(Floors!$K$2:$K$201, IFERROR(MATCH(ROW()-1-0.0001, Floors!$L$2:$L$201, 1), 0)+1))</f>
        <v/>
      </c>
    </row>
    <row r="340">
      <c r="A340" s="6">
        <f>IF(J340="","",IF(J340=J339,"",J340))</f>
        <v/>
      </c>
      <c r="B340" s="6">
        <f>IF(K340="","",IF(K340=K339,"",K340))</f>
        <v/>
      </c>
      <c r="C340" s="5">
        <f>IF(L340="","",IF(L340=L339,"",L340))</f>
        <v/>
      </c>
      <c r="D340" s="6">
        <f>IF(L340="","", SUBSTITUTE(M340," Floor","") &amp; " " &amp; CHOOSE(MIN((ROW()-1)-IFERROR(INDEX(Floors!$L$2:$L$201, MATCH(ROW()-1-0.0001, Floors!$L$2:$L$201, 1)), 0), 4), "North", "South", "East", "West"))</f>
        <v/>
      </c>
      <c r="E340" s="12" t="n"/>
      <c r="F340" s="12" t="n"/>
      <c r="G340" s="12" t="n"/>
      <c r="H340" s="16" t="n"/>
      <c r="I340" s="16" t="n"/>
      <c r="J340" s="15">
        <f>IF(ROW()-1&gt;SUM(Floors!$E$2:$E$201), "", INDEX(Floors!$F$2:$F$201, IFERROR(MATCH(ROW()-1-0.0001, Floors!$L$2:$L$201, 1), 0)+1))</f>
        <v/>
      </c>
      <c r="K340" s="15">
        <f>IF(ROW()-1&gt;SUM(Floors!$E$2:$E$201), "", INDEX(Floors!$H$2:$H$201, IFERROR(MATCH(ROW()-1-0.0001, Floors!$L$2:$L$201, 1), 0)+1))</f>
        <v/>
      </c>
      <c r="L340" s="14">
        <f>IF(ROW()-1&gt;SUM(Floors!$E$2:$E$201), "", INDEX(Floors!$D$2:$D$201, IFERROR(MATCH(ROW()-1-0.0001, Floors!$L$2:$L$201, 1), 0)+1))</f>
        <v/>
      </c>
      <c r="M340" s="15">
        <f>IF(ROW()-1&gt;SUM(Floors!$E$2:$E$201), "", INDEX(Floors!$K$2:$K$201, IFERROR(MATCH(ROW()-1-0.0001, Floors!$L$2:$L$201, 1), 0)+1))</f>
        <v/>
      </c>
    </row>
    <row r="341">
      <c r="A341" s="6">
        <f>IF(J341="","",IF(J341=J340,"",J341))</f>
        <v/>
      </c>
      <c r="B341" s="6">
        <f>IF(K341="","",IF(K341=K340,"",K341))</f>
        <v/>
      </c>
      <c r="C341" s="5">
        <f>IF(L341="","",IF(L341=L340,"",L341))</f>
        <v/>
      </c>
      <c r="D341" s="6">
        <f>IF(L341="","", SUBSTITUTE(M341," Floor","") &amp; " " &amp; CHOOSE(MIN((ROW()-1)-IFERROR(INDEX(Floors!$L$2:$L$201, MATCH(ROW()-1-0.0001, Floors!$L$2:$L$201, 1)), 0), 4), "North", "South", "East", "West"))</f>
        <v/>
      </c>
      <c r="E341" s="12" t="n"/>
      <c r="F341" s="12" t="n"/>
      <c r="G341" s="12" t="n"/>
      <c r="H341" s="16" t="n"/>
      <c r="I341" s="16" t="n"/>
      <c r="J341" s="15">
        <f>IF(ROW()-1&gt;SUM(Floors!$E$2:$E$201), "", INDEX(Floors!$F$2:$F$201, IFERROR(MATCH(ROW()-1-0.0001, Floors!$L$2:$L$201, 1), 0)+1))</f>
        <v/>
      </c>
      <c r="K341" s="15">
        <f>IF(ROW()-1&gt;SUM(Floors!$E$2:$E$201), "", INDEX(Floors!$H$2:$H$201, IFERROR(MATCH(ROW()-1-0.0001, Floors!$L$2:$L$201, 1), 0)+1))</f>
        <v/>
      </c>
      <c r="L341" s="14">
        <f>IF(ROW()-1&gt;SUM(Floors!$E$2:$E$201), "", INDEX(Floors!$D$2:$D$201, IFERROR(MATCH(ROW()-1-0.0001, Floors!$L$2:$L$201, 1), 0)+1))</f>
        <v/>
      </c>
      <c r="M341" s="15">
        <f>IF(ROW()-1&gt;SUM(Floors!$E$2:$E$201), "", INDEX(Floors!$K$2:$K$201, IFERROR(MATCH(ROW()-1-0.0001, Floors!$L$2:$L$201, 1), 0)+1))</f>
        <v/>
      </c>
    </row>
    <row r="342">
      <c r="A342" s="6">
        <f>IF(J342="","",IF(J342=J341,"",J342))</f>
        <v/>
      </c>
      <c r="B342" s="6">
        <f>IF(K342="","",IF(K342=K341,"",K342))</f>
        <v/>
      </c>
      <c r="C342" s="5">
        <f>IF(L342="","",IF(L342=L341,"",L342))</f>
        <v/>
      </c>
      <c r="D342" s="6">
        <f>IF(L342="","", SUBSTITUTE(M342," Floor","") &amp; " " &amp; CHOOSE(MIN((ROW()-1)-IFERROR(INDEX(Floors!$L$2:$L$201, MATCH(ROW()-1-0.0001, Floors!$L$2:$L$201, 1)), 0), 4), "North", "South", "East", "West"))</f>
        <v/>
      </c>
      <c r="E342" s="12" t="n"/>
      <c r="F342" s="12" t="n"/>
      <c r="G342" s="12" t="n"/>
      <c r="H342" s="16" t="n"/>
      <c r="I342" s="16" t="n"/>
      <c r="J342" s="15">
        <f>IF(ROW()-1&gt;SUM(Floors!$E$2:$E$201), "", INDEX(Floors!$F$2:$F$201, IFERROR(MATCH(ROW()-1-0.0001, Floors!$L$2:$L$201, 1), 0)+1))</f>
        <v/>
      </c>
      <c r="K342" s="15">
        <f>IF(ROW()-1&gt;SUM(Floors!$E$2:$E$201), "", INDEX(Floors!$H$2:$H$201, IFERROR(MATCH(ROW()-1-0.0001, Floors!$L$2:$L$201, 1), 0)+1))</f>
        <v/>
      </c>
      <c r="L342" s="14">
        <f>IF(ROW()-1&gt;SUM(Floors!$E$2:$E$201), "", INDEX(Floors!$D$2:$D$201, IFERROR(MATCH(ROW()-1-0.0001, Floors!$L$2:$L$201, 1), 0)+1))</f>
        <v/>
      </c>
      <c r="M342" s="15">
        <f>IF(ROW()-1&gt;SUM(Floors!$E$2:$E$201), "", INDEX(Floors!$K$2:$K$201, IFERROR(MATCH(ROW()-1-0.0001, Floors!$L$2:$L$201, 1), 0)+1))</f>
        <v/>
      </c>
    </row>
    <row r="343">
      <c r="A343" s="6">
        <f>IF(J343="","",IF(J343=J342,"",J343))</f>
        <v/>
      </c>
      <c r="B343" s="6">
        <f>IF(K343="","",IF(K343=K342,"",K343))</f>
        <v/>
      </c>
      <c r="C343" s="5">
        <f>IF(L343="","",IF(L343=L342,"",L343))</f>
        <v/>
      </c>
      <c r="D343" s="6">
        <f>IF(L343="","", SUBSTITUTE(M343," Floor","") &amp; " " &amp; CHOOSE(MIN((ROW()-1)-IFERROR(INDEX(Floors!$L$2:$L$201, MATCH(ROW()-1-0.0001, Floors!$L$2:$L$201, 1)), 0), 4), "North", "South", "East", "West"))</f>
        <v/>
      </c>
      <c r="E343" s="12" t="n"/>
      <c r="F343" s="12" t="n"/>
      <c r="G343" s="12" t="n"/>
      <c r="H343" s="16" t="n"/>
      <c r="I343" s="16" t="n"/>
      <c r="J343" s="15">
        <f>IF(ROW()-1&gt;SUM(Floors!$E$2:$E$201), "", INDEX(Floors!$F$2:$F$201, IFERROR(MATCH(ROW()-1-0.0001, Floors!$L$2:$L$201, 1), 0)+1))</f>
        <v/>
      </c>
      <c r="K343" s="15">
        <f>IF(ROW()-1&gt;SUM(Floors!$E$2:$E$201), "", INDEX(Floors!$H$2:$H$201, IFERROR(MATCH(ROW()-1-0.0001, Floors!$L$2:$L$201, 1), 0)+1))</f>
        <v/>
      </c>
      <c r="L343" s="14">
        <f>IF(ROW()-1&gt;SUM(Floors!$E$2:$E$201), "", INDEX(Floors!$D$2:$D$201, IFERROR(MATCH(ROW()-1-0.0001, Floors!$L$2:$L$201, 1), 0)+1))</f>
        <v/>
      </c>
      <c r="M343" s="15">
        <f>IF(ROW()-1&gt;SUM(Floors!$E$2:$E$201), "", INDEX(Floors!$K$2:$K$201, IFERROR(MATCH(ROW()-1-0.0001, Floors!$L$2:$L$201, 1), 0)+1))</f>
        <v/>
      </c>
    </row>
    <row r="344">
      <c r="A344" s="6">
        <f>IF(J344="","",IF(J344=J343,"",J344))</f>
        <v/>
      </c>
      <c r="B344" s="6">
        <f>IF(K344="","",IF(K344=K343,"",K344))</f>
        <v/>
      </c>
      <c r="C344" s="5">
        <f>IF(L344="","",IF(L344=L343,"",L344))</f>
        <v/>
      </c>
      <c r="D344" s="6">
        <f>IF(L344="","", SUBSTITUTE(M344," Floor","") &amp; " " &amp; CHOOSE(MIN((ROW()-1)-IFERROR(INDEX(Floors!$L$2:$L$201, MATCH(ROW()-1-0.0001, Floors!$L$2:$L$201, 1)), 0), 4), "North", "South", "East", "West"))</f>
        <v/>
      </c>
      <c r="E344" s="12" t="n"/>
      <c r="F344" s="12" t="n"/>
      <c r="G344" s="12" t="n"/>
      <c r="H344" s="16" t="n"/>
      <c r="I344" s="16" t="n"/>
      <c r="J344" s="15">
        <f>IF(ROW()-1&gt;SUM(Floors!$E$2:$E$201), "", INDEX(Floors!$F$2:$F$201, IFERROR(MATCH(ROW()-1-0.0001, Floors!$L$2:$L$201, 1), 0)+1))</f>
        <v/>
      </c>
      <c r="K344" s="15">
        <f>IF(ROW()-1&gt;SUM(Floors!$E$2:$E$201), "", INDEX(Floors!$H$2:$H$201, IFERROR(MATCH(ROW()-1-0.0001, Floors!$L$2:$L$201, 1), 0)+1))</f>
        <v/>
      </c>
      <c r="L344" s="14">
        <f>IF(ROW()-1&gt;SUM(Floors!$E$2:$E$201), "", INDEX(Floors!$D$2:$D$201, IFERROR(MATCH(ROW()-1-0.0001, Floors!$L$2:$L$201, 1), 0)+1))</f>
        <v/>
      </c>
      <c r="M344" s="15">
        <f>IF(ROW()-1&gt;SUM(Floors!$E$2:$E$201), "", INDEX(Floors!$K$2:$K$201, IFERROR(MATCH(ROW()-1-0.0001, Floors!$L$2:$L$201, 1), 0)+1))</f>
        <v/>
      </c>
    </row>
    <row r="345">
      <c r="A345" s="6">
        <f>IF(J345="","",IF(J345=J344,"",J345))</f>
        <v/>
      </c>
      <c r="B345" s="6">
        <f>IF(K345="","",IF(K345=K344,"",K345))</f>
        <v/>
      </c>
      <c r="C345" s="5">
        <f>IF(L345="","",IF(L345=L344,"",L345))</f>
        <v/>
      </c>
      <c r="D345" s="6">
        <f>IF(L345="","", SUBSTITUTE(M345," Floor","") &amp; " " &amp; CHOOSE(MIN((ROW()-1)-IFERROR(INDEX(Floors!$L$2:$L$201, MATCH(ROW()-1-0.0001, Floors!$L$2:$L$201, 1)), 0), 4), "North", "South", "East", "West"))</f>
        <v/>
      </c>
      <c r="E345" s="12" t="n"/>
      <c r="F345" s="12" t="n"/>
      <c r="G345" s="12" t="n"/>
      <c r="H345" s="16" t="n"/>
      <c r="I345" s="16" t="n"/>
      <c r="J345" s="15">
        <f>IF(ROW()-1&gt;SUM(Floors!$E$2:$E$201), "", INDEX(Floors!$F$2:$F$201, IFERROR(MATCH(ROW()-1-0.0001, Floors!$L$2:$L$201, 1), 0)+1))</f>
        <v/>
      </c>
      <c r="K345" s="15">
        <f>IF(ROW()-1&gt;SUM(Floors!$E$2:$E$201), "", INDEX(Floors!$H$2:$H$201, IFERROR(MATCH(ROW()-1-0.0001, Floors!$L$2:$L$201, 1), 0)+1))</f>
        <v/>
      </c>
      <c r="L345" s="14">
        <f>IF(ROW()-1&gt;SUM(Floors!$E$2:$E$201), "", INDEX(Floors!$D$2:$D$201, IFERROR(MATCH(ROW()-1-0.0001, Floors!$L$2:$L$201, 1), 0)+1))</f>
        <v/>
      </c>
      <c r="M345" s="15">
        <f>IF(ROW()-1&gt;SUM(Floors!$E$2:$E$201), "", INDEX(Floors!$K$2:$K$201, IFERROR(MATCH(ROW()-1-0.0001, Floors!$L$2:$L$201, 1), 0)+1))</f>
        <v/>
      </c>
    </row>
    <row r="346">
      <c r="A346" s="6">
        <f>IF(J346="","",IF(J346=J345,"",J346))</f>
        <v/>
      </c>
      <c r="B346" s="6">
        <f>IF(K346="","",IF(K346=K345,"",K346))</f>
        <v/>
      </c>
      <c r="C346" s="5">
        <f>IF(L346="","",IF(L346=L345,"",L346))</f>
        <v/>
      </c>
      <c r="D346" s="6">
        <f>IF(L346="","", SUBSTITUTE(M346," Floor","") &amp; " " &amp; CHOOSE(MIN((ROW()-1)-IFERROR(INDEX(Floors!$L$2:$L$201, MATCH(ROW()-1-0.0001, Floors!$L$2:$L$201, 1)), 0), 4), "North", "South", "East", "West"))</f>
        <v/>
      </c>
      <c r="E346" s="12" t="n"/>
      <c r="F346" s="12" t="n"/>
      <c r="G346" s="12" t="n"/>
      <c r="H346" s="16" t="n"/>
      <c r="I346" s="16" t="n"/>
      <c r="J346" s="15">
        <f>IF(ROW()-1&gt;SUM(Floors!$E$2:$E$201), "", INDEX(Floors!$F$2:$F$201, IFERROR(MATCH(ROW()-1-0.0001, Floors!$L$2:$L$201, 1), 0)+1))</f>
        <v/>
      </c>
      <c r="K346" s="15">
        <f>IF(ROW()-1&gt;SUM(Floors!$E$2:$E$201), "", INDEX(Floors!$H$2:$H$201, IFERROR(MATCH(ROW()-1-0.0001, Floors!$L$2:$L$201, 1), 0)+1))</f>
        <v/>
      </c>
      <c r="L346" s="14">
        <f>IF(ROW()-1&gt;SUM(Floors!$E$2:$E$201), "", INDEX(Floors!$D$2:$D$201, IFERROR(MATCH(ROW()-1-0.0001, Floors!$L$2:$L$201, 1), 0)+1))</f>
        <v/>
      </c>
      <c r="M346" s="15">
        <f>IF(ROW()-1&gt;SUM(Floors!$E$2:$E$201), "", INDEX(Floors!$K$2:$K$201, IFERROR(MATCH(ROW()-1-0.0001, Floors!$L$2:$L$201, 1), 0)+1))</f>
        <v/>
      </c>
    </row>
    <row r="347">
      <c r="A347" s="6">
        <f>IF(J347="","",IF(J347=J346,"",J347))</f>
        <v/>
      </c>
      <c r="B347" s="6">
        <f>IF(K347="","",IF(K347=K346,"",K347))</f>
        <v/>
      </c>
      <c r="C347" s="5">
        <f>IF(L347="","",IF(L347=L346,"",L347))</f>
        <v/>
      </c>
      <c r="D347" s="6">
        <f>IF(L347="","", SUBSTITUTE(M347," Floor","") &amp; " " &amp; CHOOSE(MIN((ROW()-1)-IFERROR(INDEX(Floors!$L$2:$L$201, MATCH(ROW()-1-0.0001, Floors!$L$2:$L$201, 1)), 0), 4), "North", "South", "East", "West"))</f>
        <v/>
      </c>
      <c r="E347" s="12" t="n"/>
      <c r="F347" s="12" t="n"/>
      <c r="G347" s="12" t="n"/>
      <c r="H347" s="16" t="n"/>
      <c r="I347" s="16" t="n"/>
      <c r="J347" s="15">
        <f>IF(ROW()-1&gt;SUM(Floors!$E$2:$E$201), "", INDEX(Floors!$F$2:$F$201, IFERROR(MATCH(ROW()-1-0.0001, Floors!$L$2:$L$201, 1), 0)+1))</f>
        <v/>
      </c>
      <c r="K347" s="15">
        <f>IF(ROW()-1&gt;SUM(Floors!$E$2:$E$201), "", INDEX(Floors!$H$2:$H$201, IFERROR(MATCH(ROW()-1-0.0001, Floors!$L$2:$L$201, 1), 0)+1))</f>
        <v/>
      </c>
      <c r="L347" s="14">
        <f>IF(ROW()-1&gt;SUM(Floors!$E$2:$E$201), "", INDEX(Floors!$D$2:$D$201, IFERROR(MATCH(ROW()-1-0.0001, Floors!$L$2:$L$201, 1), 0)+1))</f>
        <v/>
      </c>
      <c r="M347" s="15">
        <f>IF(ROW()-1&gt;SUM(Floors!$E$2:$E$201), "", INDEX(Floors!$K$2:$K$201, IFERROR(MATCH(ROW()-1-0.0001, Floors!$L$2:$L$201, 1), 0)+1))</f>
        <v/>
      </c>
    </row>
    <row r="348">
      <c r="A348" s="6">
        <f>IF(J348="","",IF(J348=J347,"",J348))</f>
        <v/>
      </c>
      <c r="B348" s="6">
        <f>IF(K348="","",IF(K348=K347,"",K348))</f>
        <v/>
      </c>
      <c r="C348" s="5">
        <f>IF(L348="","",IF(L348=L347,"",L348))</f>
        <v/>
      </c>
      <c r="D348" s="6">
        <f>IF(L348="","", SUBSTITUTE(M348," Floor","") &amp; " " &amp; CHOOSE(MIN((ROW()-1)-IFERROR(INDEX(Floors!$L$2:$L$201, MATCH(ROW()-1-0.0001, Floors!$L$2:$L$201, 1)), 0), 4), "North", "South", "East", "West"))</f>
        <v/>
      </c>
      <c r="E348" s="12" t="n"/>
      <c r="F348" s="12" t="n"/>
      <c r="G348" s="12" t="n"/>
      <c r="H348" s="16" t="n"/>
      <c r="I348" s="16" t="n"/>
      <c r="J348" s="15">
        <f>IF(ROW()-1&gt;SUM(Floors!$E$2:$E$201), "", INDEX(Floors!$F$2:$F$201, IFERROR(MATCH(ROW()-1-0.0001, Floors!$L$2:$L$201, 1), 0)+1))</f>
        <v/>
      </c>
      <c r="K348" s="15">
        <f>IF(ROW()-1&gt;SUM(Floors!$E$2:$E$201), "", INDEX(Floors!$H$2:$H$201, IFERROR(MATCH(ROW()-1-0.0001, Floors!$L$2:$L$201, 1), 0)+1))</f>
        <v/>
      </c>
      <c r="L348" s="14">
        <f>IF(ROW()-1&gt;SUM(Floors!$E$2:$E$201), "", INDEX(Floors!$D$2:$D$201, IFERROR(MATCH(ROW()-1-0.0001, Floors!$L$2:$L$201, 1), 0)+1))</f>
        <v/>
      </c>
      <c r="M348" s="15">
        <f>IF(ROW()-1&gt;SUM(Floors!$E$2:$E$201), "", INDEX(Floors!$K$2:$K$201, IFERROR(MATCH(ROW()-1-0.0001, Floors!$L$2:$L$201, 1), 0)+1))</f>
        <v/>
      </c>
    </row>
    <row r="349">
      <c r="A349" s="6">
        <f>IF(J349="","",IF(J349=J348,"",J349))</f>
        <v/>
      </c>
      <c r="B349" s="6">
        <f>IF(K349="","",IF(K349=K348,"",K349))</f>
        <v/>
      </c>
      <c r="C349" s="5">
        <f>IF(L349="","",IF(L349=L348,"",L349))</f>
        <v/>
      </c>
      <c r="D349" s="6">
        <f>IF(L349="","", SUBSTITUTE(M349," Floor","") &amp; " " &amp; CHOOSE(MIN((ROW()-1)-IFERROR(INDEX(Floors!$L$2:$L$201, MATCH(ROW()-1-0.0001, Floors!$L$2:$L$201, 1)), 0), 4), "North", "South", "East", "West"))</f>
        <v/>
      </c>
      <c r="E349" s="12" t="n"/>
      <c r="F349" s="12" t="n"/>
      <c r="G349" s="12" t="n"/>
      <c r="H349" s="16" t="n"/>
      <c r="I349" s="16" t="n"/>
      <c r="J349" s="15">
        <f>IF(ROW()-1&gt;SUM(Floors!$E$2:$E$201), "", INDEX(Floors!$F$2:$F$201, IFERROR(MATCH(ROW()-1-0.0001, Floors!$L$2:$L$201, 1), 0)+1))</f>
        <v/>
      </c>
      <c r="K349" s="15">
        <f>IF(ROW()-1&gt;SUM(Floors!$E$2:$E$201), "", INDEX(Floors!$H$2:$H$201, IFERROR(MATCH(ROW()-1-0.0001, Floors!$L$2:$L$201, 1), 0)+1))</f>
        <v/>
      </c>
      <c r="L349" s="14">
        <f>IF(ROW()-1&gt;SUM(Floors!$E$2:$E$201), "", INDEX(Floors!$D$2:$D$201, IFERROR(MATCH(ROW()-1-0.0001, Floors!$L$2:$L$201, 1), 0)+1))</f>
        <v/>
      </c>
      <c r="M349" s="15">
        <f>IF(ROW()-1&gt;SUM(Floors!$E$2:$E$201), "", INDEX(Floors!$K$2:$K$201, IFERROR(MATCH(ROW()-1-0.0001, Floors!$L$2:$L$201, 1), 0)+1))</f>
        <v/>
      </c>
    </row>
    <row r="350">
      <c r="A350" s="6">
        <f>IF(J350="","",IF(J350=J349,"",J350))</f>
        <v/>
      </c>
      <c r="B350" s="6">
        <f>IF(K350="","",IF(K350=K349,"",K350))</f>
        <v/>
      </c>
      <c r="C350" s="5">
        <f>IF(L350="","",IF(L350=L349,"",L350))</f>
        <v/>
      </c>
      <c r="D350" s="6">
        <f>IF(L350="","", SUBSTITUTE(M350," Floor","") &amp; " " &amp; CHOOSE(MIN((ROW()-1)-IFERROR(INDEX(Floors!$L$2:$L$201, MATCH(ROW()-1-0.0001, Floors!$L$2:$L$201, 1)), 0), 4), "North", "South", "East", "West"))</f>
        <v/>
      </c>
      <c r="E350" s="12" t="n"/>
      <c r="F350" s="12" t="n"/>
      <c r="G350" s="12" t="n"/>
      <c r="H350" s="16" t="n"/>
      <c r="I350" s="16" t="n"/>
      <c r="J350" s="15">
        <f>IF(ROW()-1&gt;SUM(Floors!$E$2:$E$201), "", INDEX(Floors!$F$2:$F$201, IFERROR(MATCH(ROW()-1-0.0001, Floors!$L$2:$L$201, 1), 0)+1))</f>
        <v/>
      </c>
      <c r="K350" s="15">
        <f>IF(ROW()-1&gt;SUM(Floors!$E$2:$E$201), "", INDEX(Floors!$H$2:$H$201, IFERROR(MATCH(ROW()-1-0.0001, Floors!$L$2:$L$201, 1), 0)+1))</f>
        <v/>
      </c>
      <c r="L350" s="14">
        <f>IF(ROW()-1&gt;SUM(Floors!$E$2:$E$201), "", INDEX(Floors!$D$2:$D$201, IFERROR(MATCH(ROW()-1-0.0001, Floors!$L$2:$L$201, 1), 0)+1))</f>
        <v/>
      </c>
      <c r="M350" s="15">
        <f>IF(ROW()-1&gt;SUM(Floors!$E$2:$E$201), "", INDEX(Floors!$K$2:$K$201, IFERROR(MATCH(ROW()-1-0.0001, Floors!$L$2:$L$201, 1), 0)+1))</f>
        <v/>
      </c>
    </row>
    <row r="351">
      <c r="A351" s="6">
        <f>IF(J351="","",IF(J351=J350,"",J351))</f>
        <v/>
      </c>
      <c r="B351" s="6">
        <f>IF(K351="","",IF(K351=K350,"",K351))</f>
        <v/>
      </c>
      <c r="C351" s="5">
        <f>IF(L351="","",IF(L351=L350,"",L351))</f>
        <v/>
      </c>
      <c r="D351" s="6">
        <f>IF(L351="","", SUBSTITUTE(M351," Floor","") &amp; " " &amp; CHOOSE(MIN((ROW()-1)-IFERROR(INDEX(Floors!$L$2:$L$201, MATCH(ROW()-1-0.0001, Floors!$L$2:$L$201, 1)), 0), 4), "North", "South", "East", "West"))</f>
        <v/>
      </c>
      <c r="E351" s="12" t="n"/>
      <c r="F351" s="12" t="n"/>
      <c r="G351" s="12" t="n"/>
      <c r="H351" s="16" t="n"/>
      <c r="I351" s="16" t="n"/>
      <c r="J351" s="15">
        <f>IF(ROW()-1&gt;SUM(Floors!$E$2:$E$201), "", INDEX(Floors!$F$2:$F$201, IFERROR(MATCH(ROW()-1-0.0001, Floors!$L$2:$L$201, 1), 0)+1))</f>
        <v/>
      </c>
      <c r="K351" s="15">
        <f>IF(ROW()-1&gt;SUM(Floors!$E$2:$E$201), "", INDEX(Floors!$H$2:$H$201, IFERROR(MATCH(ROW()-1-0.0001, Floors!$L$2:$L$201, 1), 0)+1))</f>
        <v/>
      </c>
      <c r="L351" s="14">
        <f>IF(ROW()-1&gt;SUM(Floors!$E$2:$E$201), "", INDEX(Floors!$D$2:$D$201, IFERROR(MATCH(ROW()-1-0.0001, Floors!$L$2:$L$201, 1), 0)+1))</f>
        <v/>
      </c>
      <c r="M351" s="15">
        <f>IF(ROW()-1&gt;SUM(Floors!$E$2:$E$201), "", INDEX(Floors!$K$2:$K$201, IFERROR(MATCH(ROW()-1-0.0001, Floors!$L$2:$L$201, 1), 0)+1))</f>
        <v/>
      </c>
    </row>
    <row r="352">
      <c r="A352" s="6">
        <f>IF(J352="","",IF(J352=J351,"",J352))</f>
        <v/>
      </c>
      <c r="B352" s="6">
        <f>IF(K352="","",IF(K352=K351,"",K352))</f>
        <v/>
      </c>
      <c r="C352" s="5">
        <f>IF(L352="","",IF(L352=L351,"",L352))</f>
        <v/>
      </c>
      <c r="D352" s="6">
        <f>IF(L352="","", SUBSTITUTE(M352," Floor","") &amp; " " &amp; CHOOSE(MIN((ROW()-1)-IFERROR(INDEX(Floors!$L$2:$L$201, MATCH(ROW()-1-0.0001, Floors!$L$2:$L$201, 1)), 0), 4), "North", "South", "East", "West"))</f>
        <v/>
      </c>
      <c r="E352" s="12" t="n"/>
      <c r="F352" s="12" t="n"/>
      <c r="G352" s="12" t="n"/>
      <c r="H352" s="16" t="n"/>
      <c r="I352" s="16" t="n"/>
      <c r="J352" s="15">
        <f>IF(ROW()-1&gt;SUM(Floors!$E$2:$E$201), "", INDEX(Floors!$F$2:$F$201, IFERROR(MATCH(ROW()-1-0.0001, Floors!$L$2:$L$201, 1), 0)+1))</f>
        <v/>
      </c>
      <c r="K352" s="15">
        <f>IF(ROW()-1&gt;SUM(Floors!$E$2:$E$201), "", INDEX(Floors!$H$2:$H$201, IFERROR(MATCH(ROW()-1-0.0001, Floors!$L$2:$L$201, 1), 0)+1))</f>
        <v/>
      </c>
      <c r="L352" s="14">
        <f>IF(ROW()-1&gt;SUM(Floors!$E$2:$E$201), "", INDEX(Floors!$D$2:$D$201, IFERROR(MATCH(ROW()-1-0.0001, Floors!$L$2:$L$201, 1), 0)+1))</f>
        <v/>
      </c>
      <c r="M352" s="15">
        <f>IF(ROW()-1&gt;SUM(Floors!$E$2:$E$201), "", INDEX(Floors!$K$2:$K$201, IFERROR(MATCH(ROW()-1-0.0001, Floors!$L$2:$L$201, 1), 0)+1))</f>
        <v/>
      </c>
    </row>
    <row r="353">
      <c r="A353" s="6">
        <f>IF(J353="","",IF(J353=J352,"",J353))</f>
        <v/>
      </c>
      <c r="B353" s="6">
        <f>IF(K353="","",IF(K353=K352,"",K353))</f>
        <v/>
      </c>
      <c r="C353" s="5">
        <f>IF(L353="","",IF(L353=L352,"",L353))</f>
        <v/>
      </c>
      <c r="D353" s="6">
        <f>IF(L353="","", SUBSTITUTE(M353," Floor","") &amp; " " &amp; CHOOSE(MIN((ROW()-1)-IFERROR(INDEX(Floors!$L$2:$L$201, MATCH(ROW()-1-0.0001, Floors!$L$2:$L$201, 1)), 0), 4), "North", "South", "East", "West"))</f>
        <v/>
      </c>
      <c r="E353" s="12" t="n"/>
      <c r="F353" s="12" t="n"/>
      <c r="G353" s="12" t="n"/>
      <c r="H353" s="16" t="n"/>
      <c r="I353" s="16" t="n"/>
      <c r="J353" s="15">
        <f>IF(ROW()-1&gt;SUM(Floors!$E$2:$E$201), "", INDEX(Floors!$F$2:$F$201, IFERROR(MATCH(ROW()-1-0.0001, Floors!$L$2:$L$201, 1), 0)+1))</f>
        <v/>
      </c>
      <c r="K353" s="15">
        <f>IF(ROW()-1&gt;SUM(Floors!$E$2:$E$201), "", INDEX(Floors!$H$2:$H$201, IFERROR(MATCH(ROW()-1-0.0001, Floors!$L$2:$L$201, 1), 0)+1))</f>
        <v/>
      </c>
      <c r="L353" s="14">
        <f>IF(ROW()-1&gt;SUM(Floors!$E$2:$E$201), "", INDEX(Floors!$D$2:$D$201, IFERROR(MATCH(ROW()-1-0.0001, Floors!$L$2:$L$201, 1), 0)+1))</f>
        <v/>
      </c>
      <c r="M353" s="15">
        <f>IF(ROW()-1&gt;SUM(Floors!$E$2:$E$201), "", INDEX(Floors!$K$2:$K$201, IFERROR(MATCH(ROW()-1-0.0001, Floors!$L$2:$L$201, 1), 0)+1))</f>
        <v/>
      </c>
    </row>
    <row r="354">
      <c r="A354" s="6">
        <f>IF(J354="","",IF(J354=J353,"",J354))</f>
        <v/>
      </c>
      <c r="B354" s="6">
        <f>IF(K354="","",IF(K354=K353,"",K354))</f>
        <v/>
      </c>
      <c r="C354" s="5">
        <f>IF(L354="","",IF(L354=L353,"",L354))</f>
        <v/>
      </c>
      <c r="D354" s="6">
        <f>IF(L354="","", SUBSTITUTE(M354," Floor","") &amp; " " &amp; CHOOSE(MIN((ROW()-1)-IFERROR(INDEX(Floors!$L$2:$L$201, MATCH(ROW()-1-0.0001, Floors!$L$2:$L$201, 1)), 0), 4), "North", "South", "East", "West"))</f>
        <v/>
      </c>
      <c r="E354" s="12" t="n"/>
      <c r="F354" s="12" t="n"/>
      <c r="G354" s="12" t="n"/>
      <c r="H354" s="16" t="n"/>
      <c r="I354" s="16" t="n"/>
      <c r="J354" s="15">
        <f>IF(ROW()-1&gt;SUM(Floors!$E$2:$E$201), "", INDEX(Floors!$F$2:$F$201, IFERROR(MATCH(ROW()-1-0.0001, Floors!$L$2:$L$201, 1), 0)+1))</f>
        <v/>
      </c>
      <c r="K354" s="15">
        <f>IF(ROW()-1&gt;SUM(Floors!$E$2:$E$201), "", INDEX(Floors!$H$2:$H$201, IFERROR(MATCH(ROW()-1-0.0001, Floors!$L$2:$L$201, 1), 0)+1))</f>
        <v/>
      </c>
      <c r="L354" s="14">
        <f>IF(ROW()-1&gt;SUM(Floors!$E$2:$E$201), "", INDEX(Floors!$D$2:$D$201, IFERROR(MATCH(ROW()-1-0.0001, Floors!$L$2:$L$201, 1), 0)+1))</f>
        <v/>
      </c>
      <c r="M354" s="15">
        <f>IF(ROW()-1&gt;SUM(Floors!$E$2:$E$201), "", INDEX(Floors!$K$2:$K$201, IFERROR(MATCH(ROW()-1-0.0001, Floors!$L$2:$L$201, 1), 0)+1))</f>
        <v/>
      </c>
    </row>
    <row r="355">
      <c r="A355" s="6">
        <f>IF(J355="","",IF(J355=J354,"",J355))</f>
        <v/>
      </c>
      <c r="B355" s="6">
        <f>IF(K355="","",IF(K355=K354,"",K355))</f>
        <v/>
      </c>
      <c r="C355" s="5">
        <f>IF(L355="","",IF(L355=L354,"",L355))</f>
        <v/>
      </c>
      <c r="D355" s="6">
        <f>IF(L355="","", SUBSTITUTE(M355," Floor","") &amp; " " &amp; CHOOSE(MIN((ROW()-1)-IFERROR(INDEX(Floors!$L$2:$L$201, MATCH(ROW()-1-0.0001, Floors!$L$2:$L$201, 1)), 0), 4), "North", "South", "East", "West"))</f>
        <v/>
      </c>
      <c r="E355" s="12" t="n"/>
      <c r="F355" s="12" t="n"/>
      <c r="G355" s="12" t="n"/>
      <c r="H355" s="16" t="n"/>
      <c r="I355" s="16" t="n"/>
      <c r="J355" s="15">
        <f>IF(ROW()-1&gt;SUM(Floors!$E$2:$E$201), "", INDEX(Floors!$F$2:$F$201, IFERROR(MATCH(ROW()-1-0.0001, Floors!$L$2:$L$201, 1), 0)+1))</f>
        <v/>
      </c>
      <c r="K355" s="15">
        <f>IF(ROW()-1&gt;SUM(Floors!$E$2:$E$201), "", INDEX(Floors!$H$2:$H$201, IFERROR(MATCH(ROW()-1-0.0001, Floors!$L$2:$L$201, 1), 0)+1))</f>
        <v/>
      </c>
      <c r="L355" s="14">
        <f>IF(ROW()-1&gt;SUM(Floors!$E$2:$E$201), "", INDEX(Floors!$D$2:$D$201, IFERROR(MATCH(ROW()-1-0.0001, Floors!$L$2:$L$201, 1), 0)+1))</f>
        <v/>
      </c>
      <c r="M355" s="15">
        <f>IF(ROW()-1&gt;SUM(Floors!$E$2:$E$201), "", INDEX(Floors!$K$2:$K$201, IFERROR(MATCH(ROW()-1-0.0001, Floors!$L$2:$L$201, 1), 0)+1))</f>
        <v/>
      </c>
    </row>
    <row r="356">
      <c r="A356" s="6">
        <f>IF(J356="","",IF(J356=J355,"",J356))</f>
        <v/>
      </c>
      <c r="B356" s="6">
        <f>IF(K356="","",IF(K356=K355,"",K356))</f>
        <v/>
      </c>
      <c r="C356" s="5">
        <f>IF(L356="","",IF(L356=L355,"",L356))</f>
        <v/>
      </c>
      <c r="D356" s="6">
        <f>IF(L356="","", SUBSTITUTE(M356," Floor","") &amp; " " &amp; CHOOSE(MIN((ROW()-1)-IFERROR(INDEX(Floors!$L$2:$L$201, MATCH(ROW()-1-0.0001, Floors!$L$2:$L$201, 1)), 0), 4), "North", "South", "East", "West"))</f>
        <v/>
      </c>
      <c r="E356" s="12" t="n"/>
      <c r="F356" s="12" t="n"/>
      <c r="G356" s="12" t="n"/>
      <c r="H356" s="16" t="n"/>
      <c r="I356" s="16" t="n"/>
      <c r="J356" s="15">
        <f>IF(ROW()-1&gt;SUM(Floors!$E$2:$E$201), "", INDEX(Floors!$F$2:$F$201, IFERROR(MATCH(ROW()-1-0.0001, Floors!$L$2:$L$201, 1), 0)+1))</f>
        <v/>
      </c>
      <c r="K356" s="15">
        <f>IF(ROW()-1&gt;SUM(Floors!$E$2:$E$201), "", INDEX(Floors!$H$2:$H$201, IFERROR(MATCH(ROW()-1-0.0001, Floors!$L$2:$L$201, 1), 0)+1))</f>
        <v/>
      </c>
      <c r="L356" s="14">
        <f>IF(ROW()-1&gt;SUM(Floors!$E$2:$E$201), "", INDEX(Floors!$D$2:$D$201, IFERROR(MATCH(ROW()-1-0.0001, Floors!$L$2:$L$201, 1), 0)+1))</f>
        <v/>
      </c>
      <c r="M356" s="15">
        <f>IF(ROW()-1&gt;SUM(Floors!$E$2:$E$201), "", INDEX(Floors!$K$2:$K$201, IFERROR(MATCH(ROW()-1-0.0001, Floors!$L$2:$L$201, 1), 0)+1))</f>
        <v/>
      </c>
    </row>
    <row r="357">
      <c r="A357" s="6">
        <f>IF(J357="","",IF(J357=J356,"",J357))</f>
        <v/>
      </c>
      <c r="B357" s="6">
        <f>IF(K357="","",IF(K357=K356,"",K357))</f>
        <v/>
      </c>
      <c r="C357" s="5">
        <f>IF(L357="","",IF(L357=L356,"",L357))</f>
        <v/>
      </c>
      <c r="D357" s="6">
        <f>IF(L357="","", SUBSTITUTE(M357," Floor","") &amp; " " &amp; CHOOSE(MIN((ROW()-1)-IFERROR(INDEX(Floors!$L$2:$L$201, MATCH(ROW()-1-0.0001, Floors!$L$2:$L$201, 1)), 0), 4), "North", "South", "East", "West"))</f>
        <v/>
      </c>
      <c r="E357" s="12" t="n"/>
      <c r="F357" s="12" t="n"/>
      <c r="G357" s="12" t="n"/>
      <c r="H357" s="16" t="n"/>
      <c r="I357" s="16" t="n"/>
      <c r="J357" s="15">
        <f>IF(ROW()-1&gt;SUM(Floors!$E$2:$E$201), "", INDEX(Floors!$F$2:$F$201, IFERROR(MATCH(ROW()-1-0.0001, Floors!$L$2:$L$201, 1), 0)+1))</f>
        <v/>
      </c>
      <c r="K357" s="15">
        <f>IF(ROW()-1&gt;SUM(Floors!$E$2:$E$201), "", INDEX(Floors!$H$2:$H$201, IFERROR(MATCH(ROW()-1-0.0001, Floors!$L$2:$L$201, 1), 0)+1))</f>
        <v/>
      </c>
      <c r="L357" s="14">
        <f>IF(ROW()-1&gt;SUM(Floors!$E$2:$E$201), "", INDEX(Floors!$D$2:$D$201, IFERROR(MATCH(ROW()-1-0.0001, Floors!$L$2:$L$201, 1), 0)+1))</f>
        <v/>
      </c>
      <c r="M357" s="15">
        <f>IF(ROW()-1&gt;SUM(Floors!$E$2:$E$201), "", INDEX(Floors!$K$2:$K$201, IFERROR(MATCH(ROW()-1-0.0001, Floors!$L$2:$L$201, 1), 0)+1))</f>
        <v/>
      </c>
    </row>
    <row r="358">
      <c r="A358" s="6">
        <f>IF(J358="","",IF(J358=J357,"",J358))</f>
        <v/>
      </c>
      <c r="B358" s="6">
        <f>IF(K358="","",IF(K358=K357,"",K358))</f>
        <v/>
      </c>
      <c r="C358" s="5">
        <f>IF(L358="","",IF(L358=L357,"",L358))</f>
        <v/>
      </c>
      <c r="D358" s="6">
        <f>IF(L358="","", SUBSTITUTE(M358," Floor","") &amp; " " &amp; CHOOSE(MIN((ROW()-1)-IFERROR(INDEX(Floors!$L$2:$L$201, MATCH(ROW()-1-0.0001, Floors!$L$2:$L$201, 1)), 0), 4), "North", "South", "East", "West"))</f>
        <v/>
      </c>
      <c r="E358" s="12" t="n"/>
      <c r="F358" s="12" t="n"/>
      <c r="G358" s="12" t="n"/>
      <c r="H358" s="16" t="n"/>
      <c r="I358" s="16" t="n"/>
      <c r="J358" s="15">
        <f>IF(ROW()-1&gt;SUM(Floors!$E$2:$E$201), "", INDEX(Floors!$F$2:$F$201, IFERROR(MATCH(ROW()-1-0.0001, Floors!$L$2:$L$201, 1), 0)+1))</f>
        <v/>
      </c>
      <c r="K358" s="15">
        <f>IF(ROW()-1&gt;SUM(Floors!$E$2:$E$201), "", INDEX(Floors!$H$2:$H$201, IFERROR(MATCH(ROW()-1-0.0001, Floors!$L$2:$L$201, 1), 0)+1))</f>
        <v/>
      </c>
      <c r="L358" s="14">
        <f>IF(ROW()-1&gt;SUM(Floors!$E$2:$E$201), "", INDEX(Floors!$D$2:$D$201, IFERROR(MATCH(ROW()-1-0.0001, Floors!$L$2:$L$201, 1), 0)+1))</f>
        <v/>
      </c>
      <c r="M358" s="15">
        <f>IF(ROW()-1&gt;SUM(Floors!$E$2:$E$201), "", INDEX(Floors!$K$2:$K$201, IFERROR(MATCH(ROW()-1-0.0001, Floors!$L$2:$L$201, 1), 0)+1))</f>
        <v/>
      </c>
    </row>
    <row r="359">
      <c r="A359" s="6">
        <f>IF(J359="","",IF(J359=J358,"",J359))</f>
        <v/>
      </c>
      <c r="B359" s="6">
        <f>IF(K359="","",IF(K359=K358,"",K359))</f>
        <v/>
      </c>
      <c r="C359" s="5">
        <f>IF(L359="","",IF(L359=L358,"",L359))</f>
        <v/>
      </c>
      <c r="D359" s="6">
        <f>IF(L359="","", SUBSTITUTE(M359," Floor","") &amp; " " &amp; CHOOSE(MIN((ROW()-1)-IFERROR(INDEX(Floors!$L$2:$L$201, MATCH(ROW()-1-0.0001, Floors!$L$2:$L$201, 1)), 0), 4), "North", "South", "East", "West"))</f>
        <v/>
      </c>
      <c r="E359" s="12" t="n"/>
      <c r="F359" s="12" t="n"/>
      <c r="G359" s="12" t="n"/>
      <c r="H359" s="16" t="n"/>
      <c r="I359" s="16" t="n"/>
      <c r="J359" s="15">
        <f>IF(ROW()-1&gt;SUM(Floors!$E$2:$E$201), "", INDEX(Floors!$F$2:$F$201, IFERROR(MATCH(ROW()-1-0.0001, Floors!$L$2:$L$201, 1), 0)+1))</f>
        <v/>
      </c>
      <c r="K359" s="15">
        <f>IF(ROW()-1&gt;SUM(Floors!$E$2:$E$201), "", INDEX(Floors!$H$2:$H$201, IFERROR(MATCH(ROW()-1-0.0001, Floors!$L$2:$L$201, 1), 0)+1))</f>
        <v/>
      </c>
      <c r="L359" s="14">
        <f>IF(ROW()-1&gt;SUM(Floors!$E$2:$E$201), "", INDEX(Floors!$D$2:$D$201, IFERROR(MATCH(ROW()-1-0.0001, Floors!$L$2:$L$201, 1), 0)+1))</f>
        <v/>
      </c>
      <c r="M359" s="15">
        <f>IF(ROW()-1&gt;SUM(Floors!$E$2:$E$201), "", INDEX(Floors!$K$2:$K$201, IFERROR(MATCH(ROW()-1-0.0001, Floors!$L$2:$L$201, 1), 0)+1))</f>
        <v/>
      </c>
    </row>
    <row r="360">
      <c r="A360" s="6">
        <f>IF(J360="","",IF(J360=J359,"",J360))</f>
        <v/>
      </c>
      <c r="B360" s="6">
        <f>IF(K360="","",IF(K360=K359,"",K360))</f>
        <v/>
      </c>
      <c r="C360" s="5">
        <f>IF(L360="","",IF(L360=L359,"",L360))</f>
        <v/>
      </c>
      <c r="D360" s="6">
        <f>IF(L360="","", SUBSTITUTE(M360," Floor","") &amp; " " &amp; CHOOSE(MIN((ROW()-1)-IFERROR(INDEX(Floors!$L$2:$L$201, MATCH(ROW()-1-0.0001, Floors!$L$2:$L$201, 1)), 0), 4), "North", "South", "East", "West"))</f>
        <v/>
      </c>
      <c r="E360" s="12" t="n"/>
      <c r="F360" s="12" t="n"/>
      <c r="G360" s="12" t="n"/>
      <c r="H360" s="16" t="n"/>
      <c r="I360" s="16" t="n"/>
      <c r="J360" s="15">
        <f>IF(ROW()-1&gt;SUM(Floors!$E$2:$E$201), "", INDEX(Floors!$F$2:$F$201, IFERROR(MATCH(ROW()-1-0.0001, Floors!$L$2:$L$201, 1), 0)+1))</f>
        <v/>
      </c>
      <c r="K360" s="15">
        <f>IF(ROW()-1&gt;SUM(Floors!$E$2:$E$201), "", INDEX(Floors!$H$2:$H$201, IFERROR(MATCH(ROW()-1-0.0001, Floors!$L$2:$L$201, 1), 0)+1))</f>
        <v/>
      </c>
      <c r="L360" s="14">
        <f>IF(ROW()-1&gt;SUM(Floors!$E$2:$E$201), "", INDEX(Floors!$D$2:$D$201, IFERROR(MATCH(ROW()-1-0.0001, Floors!$L$2:$L$201, 1), 0)+1))</f>
        <v/>
      </c>
      <c r="M360" s="15">
        <f>IF(ROW()-1&gt;SUM(Floors!$E$2:$E$201), "", INDEX(Floors!$K$2:$K$201, IFERROR(MATCH(ROW()-1-0.0001, Floors!$L$2:$L$201, 1), 0)+1))</f>
        <v/>
      </c>
    </row>
    <row r="361">
      <c r="A361" s="6">
        <f>IF(J361="","",IF(J361=J360,"",J361))</f>
        <v/>
      </c>
      <c r="B361" s="6">
        <f>IF(K361="","",IF(K361=K360,"",K361))</f>
        <v/>
      </c>
      <c r="C361" s="5">
        <f>IF(L361="","",IF(L361=L360,"",L361))</f>
        <v/>
      </c>
      <c r="D361" s="6">
        <f>IF(L361="","", SUBSTITUTE(M361," Floor","") &amp; " " &amp; CHOOSE(MIN((ROW()-1)-IFERROR(INDEX(Floors!$L$2:$L$201, MATCH(ROW()-1-0.0001, Floors!$L$2:$L$201, 1)), 0), 4), "North", "South", "East", "West"))</f>
        <v/>
      </c>
      <c r="E361" s="12" t="n"/>
      <c r="F361" s="12" t="n"/>
      <c r="G361" s="12" t="n"/>
      <c r="H361" s="16" t="n"/>
      <c r="I361" s="16" t="n"/>
      <c r="J361" s="15">
        <f>IF(ROW()-1&gt;SUM(Floors!$E$2:$E$201), "", INDEX(Floors!$F$2:$F$201, IFERROR(MATCH(ROW()-1-0.0001, Floors!$L$2:$L$201, 1), 0)+1))</f>
        <v/>
      </c>
      <c r="K361" s="15">
        <f>IF(ROW()-1&gt;SUM(Floors!$E$2:$E$201), "", INDEX(Floors!$H$2:$H$201, IFERROR(MATCH(ROW()-1-0.0001, Floors!$L$2:$L$201, 1), 0)+1))</f>
        <v/>
      </c>
      <c r="L361" s="14">
        <f>IF(ROW()-1&gt;SUM(Floors!$E$2:$E$201), "", INDEX(Floors!$D$2:$D$201, IFERROR(MATCH(ROW()-1-0.0001, Floors!$L$2:$L$201, 1), 0)+1))</f>
        <v/>
      </c>
      <c r="M361" s="15">
        <f>IF(ROW()-1&gt;SUM(Floors!$E$2:$E$201), "", INDEX(Floors!$K$2:$K$201, IFERROR(MATCH(ROW()-1-0.0001, Floors!$L$2:$L$201, 1), 0)+1))</f>
        <v/>
      </c>
    </row>
    <row r="362">
      <c r="A362" s="6">
        <f>IF(J362="","",IF(J362=J361,"",J362))</f>
        <v/>
      </c>
      <c r="B362" s="6">
        <f>IF(K362="","",IF(K362=K361,"",K362))</f>
        <v/>
      </c>
      <c r="C362" s="5">
        <f>IF(L362="","",IF(L362=L361,"",L362))</f>
        <v/>
      </c>
      <c r="D362" s="6">
        <f>IF(L362="","", SUBSTITUTE(M362," Floor","") &amp; " " &amp; CHOOSE(MIN((ROW()-1)-IFERROR(INDEX(Floors!$L$2:$L$201, MATCH(ROW()-1-0.0001, Floors!$L$2:$L$201, 1)), 0), 4), "North", "South", "East", "West"))</f>
        <v/>
      </c>
      <c r="E362" s="12" t="n"/>
      <c r="F362" s="12" t="n"/>
      <c r="G362" s="12" t="n"/>
      <c r="H362" s="16" t="n"/>
      <c r="I362" s="16" t="n"/>
      <c r="J362" s="15">
        <f>IF(ROW()-1&gt;SUM(Floors!$E$2:$E$201), "", INDEX(Floors!$F$2:$F$201, IFERROR(MATCH(ROW()-1-0.0001, Floors!$L$2:$L$201, 1), 0)+1))</f>
        <v/>
      </c>
      <c r="K362" s="15">
        <f>IF(ROW()-1&gt;SUM(Floors!$E$2:$E$201), "", INDEX(Floors!$H$2:$H$201, IFERROR(MATCH(ROW()-1-0.0001, Floors!$L$2:$L$201, 1), 0)+1))</f>
        <v/>
      </c>
      <c r="L362" s="14">
        <f>IF(ROW()-1&gt;SUM(Floors!$E$2:$E$201), "", INDEX(Floors!$D$2:$D$201, IFERROR(MATCH(ROW()-1-0.0001, Floors!$L$2:$L$201, 1), 0)+1))</f>
        <v/>
      </c>
      <c r="M362" s="15">
        <f>IF(ROW()-1&gt;SUM(Floors!$E$2:$E$201), "", INDEX(Floors!$K$2:$K$201, IFERROR(MATCH(ROW()-1-0.0001, Floors!$L$2:$L$201, 1), 0)+1))</f>
        <v/>
      </c>
    </row>
    <row r="363">
      <c r="A363" s="6">
        <f>IF(J363="","",IF(J363=J362,"",J363))</f>
        <v/>
      </c>
      <c r="B363" s="6">
        <f>IF(K363="","",IF(K363=K362,"",K363))</f>
        <v/>
      </c>
      <c r="C363" s="5">
        <f>IF(L363="","",IF(L363=L362,"",L363))</f>
        <v/>
      </c>
      <c r="D363" s="6">
        <f>IF(L363="","", SUBSTITUTE(M363," Floor","") &amp; " " &amp; CHOOSE(MIN((ROW()-1)-IFERROR(INDEX(Floors!$L$2:$L$201, MATCH(ROW()-1-0.0001, Floors!$L$2:$L$201, 1)), 0), 4), "North", "South", "East", "West"))</f>
        <v/>
      </c>
      <c r="E363" s="12" t="n"/>
      <c r="F363" s="12" t="n"/>
      <c r="G363" s="12" t="n"/>
      <c r="H363" s="16" t="n"/>
      <c r="I363" s="16" t="n"/>
      <c r="J363" s="15">
        <f>IF(ROW()-1&gt;SUM(Floors!$E$2:$E$201), "", INDEX(Floors!$F$2:$F$201, IFERROR(MATCH(ROW()-1-0.0001, Floors!$L$2:$L$201, 1), 0)+1))</f>
        <v/>
      </c>
      <c r="K363" s="15">
        <f>IF(ROW()-1&gt;SUM(Floors!$E$2:$E$201), "", INDEX(Floors!$H$2:$H$201, IFERROR(MATCH(ROW()-1-0.0001, Floors!$L$2:$L$201, 1), 0)+1))</f>
        <v/>
      </c>
      <c r="L363" s="14">
        <f>IF(ROW()-1&gt;SUM(Floors!$E$2:$E$201), "", INDEX(Floors!$D$2:$D$201, IFERROR(MATCH(ROW()-1-0.0001, Floors!$L$2:$L$201, 1), 0)+1))</f>
        <v/>
      </c>
      <c r="M363" s="15">
        <f>IF(ROW()-1&gt;SUM(Floors!$E$2:$E$201), "", INDEX(Floors!$K$2:$K$201, IFERROR(MATCH(ROW()-1-0.0001, Floors!$L$2:$L$201, 1), 0)+1))</f>
        <v/>
      </c>
    </row>
    <row r="364">
      <c r="A364" s="6">
        <f>IF(J364="","",IF(J364=J363,"",J364))</f>
        <v/>
      </c>
      <c r="B364" s="6">
        <f>IF(K364="","",IF(K364=K363,"",K364))</f>
        <v/>
      </c>
      <c r="C364" s="5">
        <f>IF(L364="","",IF(L364=L363,"",L364))</f>
        <v/>
      </c>
      <c r="D364" s="6">
        <f>IF(L364="","", SUBSTITUTE(M364," Floor","") &amp; " " &amp; CHOOSE(MIN((ROW()-1)-IFERROR(INDEX(Floors!$L$2:$L$201, MATCH(ROW()-1-0.0001, Floors!$L$2:$L$201, 1)), 0), 4), "North", "South", "East", "West"))</f>
        <v/>
      </c>
      <c r="E364" s="12" t="n"/>
      <c r="F364" s="12" t="n"/>
      <c r="G364" s="12" t="n"/>
      <c r="H364" s="16" t="n"/>
      <c r="I364" s="16" t="n"/>
      <c r="J364" s="15">
        <f>IF(ROW()-1&gt;SUM(Floors!$E$2:$E$201), "", INDEX(Floors!$F$2:$F$201, IFERROR(MATCH(ROW()-1-0.0001, Floors!$L$2:$L$201, 1), 0)+1))</f>
        <v/>
      </c>
      <c r="K364" s="15">
        <f>IF(ROW()-1&gt;SUM(Floors!$E$2:$E$201), "", INDEX(Floors!$H$2:$H$201, IFERROR(MATCH(ROW()-1-0.0001, Floors!$L$2:$L$201, 1), 0)+1))</f>
        <v/>
      </c>
      <c r="L364" s="14">
        <f>IF(ROW()-1&gt;SUM(Floors!$E$2:$E$201), "", INDEX(Floors!$D$2:$D$201, IFERROR(MATCH(ROW()-1-0.0001, Floors!$L$2:$L$201, 1), 0)+1))</f>
        <v/>
      </c>
      <c r="M364" s="15">
        <f>IF(ROW()-1&gt;SUM(Floors!$E$2:$E$201), "", INDEX(Floors!$K$2:$K$201, IFERROR(MATCH(ROW()-1-0.0001, Floors!$L$2:$L$201, 1), 0)+1))</f>
        <v/>
      </c>
    </row>
    <row r="365">
      <c r="A365" s="6">
        <f>IF(J365="","",IF(J365=J364,"",J365))</f>
        <v/>
      </c>
      <c r="B365" s="6">
        <f>IF(K365="","",IF(K365=K364,"",K365))</f>
        <v/>
      </c>
      <c r="C365" s="5">
        <f>IF(L365="","",IF(L365=L364,"",L365))</f>
        <v/>
      </c>
      <c r="D365" s="6">
        <f>IF(L365="","", SUBSTITUTE(M365," Floor","") &amp; " " &amp; CHOOSE(MIN((ROW()-1)-IFERROR(INDEX(Floors!$L$2:$L$201, MATCH(ROW()-1-0.0001, Floors!$L$2:$L$201, 1)), 0), 4), "North", "South", "East", "West"))</f>
        <v/>
      </c>
      <c r="E365" s="12" t="n"/>
      <c r="F365" s="12" t="n"/>
      <c r="G365" s="12" t="n"/>
      <c r="H365" s="16" t="n"/>
      <c r="I365" s="16" t="n"/>
      <c r="J365" s="15">
        <f>IF(ROW()-1&gt;SUM(Floors!$E$2:$E$201), "", INDEX(Floors!$F$2:$F$201, IFERROR(MATCH(ROW()-1-0.0001, Floors!$L$2:$L$201, 1), 0)+1))</f>
        <v/>
      </c>
      <c r="K365" s="15">
        <f>IF(ROW()-1&gt;SUM(Floors!$E$2:$E$201), "", INDEX(Floors!$H$2:$H$201, IFERROR(MATCH(ROW()-1-0.0001, Floors!$L$2:$L$201, 1), 0)+1))</f>
        <v/>
      </c>
      <c r="L365" s="14">
        <f>IF(ROW()-1&gt;SUM(Floors!$E$2:$E$201), "", INDEX(Floors!$D$2:$D$201, IFERROR(MATCH(ROW()-1-0.0001, Floors!$L$2:$L$201, 1), 0)+1))</f>
        <v/>
      </c>
      <c r="M365" s="15">
        <f>IF(ROW()-1&gt;SUM(Floors!$E$2:$E$201), "", INDEX(Floors!$K$2:$K$201, IFERROR(MATCH(ROW()-1-0.0001, Floors!$L$2:$L$201, 1), 0)+1))</f>
        <v/>
      </c>
    </row>
    <row r="366">
      <c r="A366" s="6">
        <f>IF(J366="","",IF(J366=J365,"",J366))</f>
        <v/>
      </c>
      <c r="B366" s="6">
        <f>IF(K366="","",IF(K366=K365,"",K366))</f>
        <v/>
      </c>
      <c r="C366" s="5">
        <f>IF(L366="","",IF(L366=L365,"",L366))</f>
        <v/>
      </c>
      <c r="D366" s="6">
        <f>IF(L366="","", SUBSTITUTE(M366," Floor","") &amp; " " &amp; CHOOSE(MIN((ROW()-1)-IFERROR(INDEX(Floors!$L$2:$L$201, MATCH(ROW()-1-0.0001, Floors!$L$2:$L$201, 1)), 0), 4), "North", "South", "East", "West"))</f>
        <v/>
      </c>
      <c r="E366" s="12" t="n"/>
      <c r="F366" s="12" t="n"/>
      <c r="G366" s="12" t="n"/>
      <c r="H366" s="16" t="n"/>
      <c r="I366" s="16" t="n"/>
      <c r="J366" s="15">
        <f>IF(ROW()-1&gt;SUM(Floors!$E$2:$E$201), "", INDEX(Floors!$F$2:$F$201, IFERROR(MATCH(ROW()-1-0.0001, Floors!$L$2:$L$201, 1), 0)+1))</f>
        <v/>
      </c>
      <c r="K366" s="15">
        <f>IF(ROW()-1&gt;SUM(Floors!$E$2:$E$201), "", INDEX(Floors!$H$2:$H$201, IFERROR(MATCH(ROW()-1-0.0001, Floors!$L$2:$L$201, 1), 0)+1))</f>
        <v/>
      </c>
      <c r="L366" s="14">
        <f>IF(ROW()-1&gt;SUM(Floors!$E$2:$E$201), "", INDEX(Floors!$D$2:$D$201, IFERROR(MATCH(ROW()-1-0.0001, Floors!$L$2:$L$201, 1), 0)+1))</f>
        <v/>
      </c>
      <c r="M366" s="15">
        <f>IF(ROW()-1&gt;SUM(Floors!$E$2:$E$201), "", INDEX(Floors!$K$2:$K$201, IFERROR(MATCH(ROW()-1-0.0001, Floors!$L$2:$L$201, 1), 0)+1))</f>
        <v/>
      </c>
    </row>
    <row r="367">
      <c r="A367" s="6">
        <f>IF(J367="","",IF(J367=J366,"",J367))</f>
        <v/>
      </c>
      <c r="B367" s="6">
        <f>IF(K367="","",IF(K367=K366,"",K367))</f>
        <v/>
      </c>
      <c r="C367" s="5">
        <f>IF(L367="","",IF(L367=L366,"",L367))</f>
        <v/>
      </c>
      <c r="D367" s="6">
        <f>IF(L367="","", SUBSTITUTE(M367," Floor","") &amp; " " &amp; CHOOSE(MIN((ROW()-1)-IFERROR(INDEX(Floors!$L$2:$L$201, MATCH(ROW()-1-0.0001, Floors!$L$2:$L$201, 1)), 0), 4), "North", "South", "East", "West"))</f>
        <v/>
      </c>
      <c r="E367" s="12" t="n"/>
      <c r="F367" s="12" t="n"/>
      <c r="G367" s="12" t="n"/>
      <c r="H367" s="16" t="n"/>
      <c r="I367" s="16" t="n"/>
      <c r="J367" s="15">
        <f>IF(ROW()-1&gt;SUM(Floors!$E$2:$E$201), "", INDEX(Floors!$F$2:$F$201, IFERROR(MATCH(ROW()-1-0.0001, Floors!$L$2:$L$201, 1), 0)+1))</f>
        <v/>
      </c>
      <c r="K367" s="15">
        <f>IF(ROW()-1&gt;SUM(Floors!$E$2:$E$201), "", INDEX(Floors!$H$2:$H$201, IFERROR(MATCH(ROW()-1-0.0001, Floors!$L$2:$L$201, 1), 0)+1))</f>
        <v/>
      </c>
      <c r="L367" s="14">
        <f>IF(ROW()-1&gt;SUM(Floors!$E$2:$E$201), "", INDEX(Floors!$D$2:$D$201, IFERROR(MATCH(ROW()-1-0.0001, Floors!$L$2:$L$201, 1), 0)+1))</f>
        <v/>
      </c>
      <c r="M367" s="15">
        <f>IF(ROW()-1&gt;SUM(Floors!$E$2:$E$201), "", INDEX(Floors!$K$2:$K$201, IFERROR(MATCH(ROW()-1-0.0001, Floors!$L$2:$L$201, 1), 0)+1))</f>
        <v/>
      </c>
    </row>
    <row r="368">
      <c r="A368" s="6">
        <f>IF(J368="","",IF(J368=J367,"",J368))</f>
        <v/>
      </c>
      <c r="B368" s="6">
        <f>IF(K368="","",IF(K368=K367,"",K368))</f>
        <v/>
      </c>
      <c r="C368" s="5">
        <f>IF(L368="","",IF(L368=L367,"",L368))</f>
        <v/>
      </c>
      <c r="D368" s="6">
        <f>IF(L368="","", SUBSTITUTE(M368," Floor","") &amp; " " &amp; CHOOSE(MIN((ROW()-1)-IFERROR(INDEX(Floors!$L$2:$L$201, MATCH(ROW()-1-0.0001, Floors!$L$2:$L$201, 1)), 0), 4), "North", "South", "East", "West"))</f>
        <v/>
      </c>
      <c r="E368" s="12" t="n"/>
      <c r="F368" s="12" t="n"/>
      <c r="G368" s="12" t="n"/>
      <c r="H368" s="16" t="n"/>
      <c r="I368" s="16" t="n"/>
      <c r="J368" s="15">
        <f>IF(ROW()-1&gt;SUM(Floors!$E$2:$E$201), "", INDEX(Floors!$F$2:$F$201, IFERROR(MATCH(ROW()-1-0.0001, Floors!$L$2:$L$201, 1), 0)+1))</f>
        <v/>
      </c>
      <c r="K368" s="15">
        <f>IF(ROW()-1&gt;SUM(Floors!$E$2:$E$201), "", INDEX(Floors!$H$2:$H$201, IFERROR(MATCH(ROW()-1-0.0001, Floors!$L$2:$L$201, 1), 0)+1))</f>
        <v/>
      </c>
      <c r="L368" s="14">
        <f>IF(ROW()-1&gt;SUM(Floors!$E$2:$E$201), "", INDEX(Floors!$D$2:$D$201, IFERROR(MATCH(ROW()-1-0.0001, Floors!$L$2:$L$201, 1), 0)+1))</f>
        <v/>
      </c>
      <c r="M368" s="15">
        <f>IF(ROW()-1&gt;SUM(Floors!$E$2:$E$201), "", INDEX(Floors!$K$2:$K$201, IFERROR(MATCH(ROW()-1-0.0001, Floors!$L$2:$L$201, 1), 0)+1))</f>
        <v/>
      </c>
    </row>
    <row r="369">
      <c r="A369" s="6">
        <f>IF(J369="","",IF(J369=J368,"",J369))</f>
        <v/>
      </c>
      <c r="B369" s="6">
        <f>IF(K369="","",IF(K369=K368,"",K369))</f>
        <v/>
      </c>
      <c r="C369" s="5">
        <f>IF(L369="","",IF(L369=L368,"",L369))</f>
        <v/>
      </c>
      <c r="D369" s="6">
        <f>IF(L369="","", SUBSTITUTE(M369," Floor","") &amp; " " &amp; CHOOSE(MIN((ROW()-1)-IFERROR(INDEX(Floors!$L$2:$L$201, MATCH(ROW()-1-0.0001, Floors!$L$2:$L$201, 1)), 0), 4), "North", "South", "East", "West"))</f>
        <v/>
      </c>
      <c r="E369" s="12" t="n"/>
      <c r="F369" s="12" t="n"/>
      <c r="G369" s="12" t="n"/>
      <c r="H369" s="16" t="n"/>
      <c r="I369" s="16" t="n"/>
      <c r="J369" s="15">
        <f>IF(ROW()-1&gt;SUM(Floors!$E$2:$E$201), "", INDEX(Floors!$F$2:$F$201, IFERROR(MATCH(ROW()-1-0.0001, Floors!$L$2:$L$201, 1), 0)+1))</f>
        <v/>
      </c>
      <c r="K369" s="15">
        <f>IF(ROW()-1&gt;SUM(Floors!$E$2:$E$201), "", INDEX(Floors!$H$2:$H$201, IFERROR(MATCH(ROW()-1-0.0001, Floors!$L$2:$L$201, 1), 0)+1))</f>
        <v/>
      </c>
      <c r="L369" s="14">
        <f>IF(ROW()-1&gt;SUM(Floors!$E$2:$E$201), "", INDEX(Floors!$D$2:$D$201, IFERROR(MATCH(ROW()-1-0.0001, Floors!$L$2:$L$201, 1), 0)+1))</f>
        <v/>
      </c>
      <c r="M369" s="15">
        <f>IF(ROW()-1&gt;SUM(Floors!$E$2:$E$201), "", INDEX(Floors!$K$2:$K$201, IFERROR(MATCH(ROW()-1-0.0001, Floors!$L$2:$L$201, 1), 0)+1))</f>
        <v/>
      </c>
    </row>
    <row r="370">
      <c r="A370" s="6">
        <f>IF(J370="","",IF(J370=J369,"",J370))</f>
        <v/>
      </c>
      <c r="B370" s="6">
        <f>IF(K370="","",IF(K370=K369,"",K370))</f>
        <v/>
      </c>
      <c r="C370" s="5">
        <f>IF(L370="","",IF(L370=L369,"",L370))</f>
        <v/>
      </c>
      <c r="D370" s="6">
        <f>IF(L370="","", SUBSTITUTE(M370," Floor","") &amp; " " &amp; CHOOSE(MIN((ROW()-1)-IFERROR(INDEX(Floors!$L$2:$L$201, MATCH(ROW()-1-0.0001, Floors!$L$2:$L$201, 1)), 0), 4), "North", "South", "East", "West"))</f>
        <v/>
      </c>
      <c r="E370" s="12" t="n"/>
      <c r="F370" s="12" t="n"/>
      <c r="G370" s="12" t="n"/>
      <c r="H370" s="16" t="n"/>
      <c r="I370" s="16" t="n"/>
      <c r="J370" s="15">
        <f>IF(ROW()-1&gt;SUM(Floors!$E$2:$E$201), "", INDEX(Floors!$F$2:$F$201, IFERROR(MATCH(ROW()-1-0.0001, Floors!$L$2:$L$201, 1), 0)+1))</f>
        <v/>
      </c>
      <c r="K370" s="15">
        <f>IF(ROW()-1&gt;SUM(Floors!$E$2:$E$201), "", INDEX(Floors!$H$2:$H$201, IFERROR(MATCH(ROW()-1-0.0001, Floors!$L$2:$L$201, 1), 0)+1))</f>
        <v/>
      </c>
      <c r="L370" s="14">
        <f>IF(ROW()-1&gt;SUM(Floors!$E$2:$E$201), "", INDEX(Floors!$D$2:$D$201, IFERROR(MATCH(ROW()-1-0.0001, Floors!$L$2:$L$201, 1), 0)+1))</f>
        <v/>
      </c>
      <c r="M370" s="15">
        <f>IF(ROW()-1&gt;SUM(Floors!$E$2:$E$201), "", INDEX(Floors!$K$2:$K$201, IFERROR(MATCH(ROW()-1-0.0001, Floors!$L$2:$L$201, 1), 0)+1))</f>
        <v/>
      </c>
    </row>
    <row r="371">
      <c r="A371" s="6">
        <f>IF(J371="","",IF(J371=J370,"",J371))</f>
        <v/>
      </c>
      <c r="B371" s="6">
        <f>IF(K371="","",IF(K371=K370,"",K371))</f>
        <v/>
      </c>
      <c r="C371" s="5">
        <f>IF(L371="","",IF(L371=L370,"",L371))</f>
        <v/>
      </c>
      <c r="D371" s="6">
        <f>IF(L371="","", SUBSTITUTE(M371," Floor","") &amp; " " &amp; CHOOSE(MIN((ROW()-1)-IFERROR(INDEX(Floors!$L$2:$L$201, MATCH(ROW()-1-0.0001, Floors!$L$2:$L$201, 1)), 0), 4), "North", "South", "East", "West"))</f>
        <v/>
      </c>
      <c r="E371" s="12" t="n"/>
      <c r="F371" s="12" t="n"/>
      <c r="G371" s="12" t="n"/>
      <c r="H371" s="16" t="n"/>
      <c r="I371" s="16" t="n"/>
      <c r="J371" s="15">
        <f>IF(ROW()-1&gt;SUM(Floors!$E$2:$E$201), "", INDEX(Floors!$F$2:$F$201, IFERROR(MATCH(ROW()-1-0.0001, Floors!$L$2:$L$201, 1), 0)+1))</f>
        <v/>
      </c>
      <c r="K371" s="15">
        <f>IF(ROW()-1&gt;SUM(Floors!$E$2:$E$201), "", INDEX(Floors!$H$2:$H$201, IFERROR(MATCH(ROW()-1-0.0001, Floors!$L$2:$L$201, 1), 0)+1))</f>
        <v/>
      </c>
      <c r="L371" s="14">
        <f>IF(ROW()-1&gt;SUM(Floors!$E$2:$E$201), "", INDEX(Floors!$D$2:$D$201, IFERROR(MATCH(ROW()-1-0.0001, Floors!$L$2:$L$201, 1), 0)+1))</f>
        <v/>
      </c>
      <c r="M371" s="15">
        <f>IF(ROW()-1&gt;SUM(Floors!$E$2:$E$201), "", INDEX(Floors!$K$2:$K$201, IFERROR(MATCH(ROW()-1-0.0001, Floors!$L$2:$L$201, 1), 0)+1))</f>
        <v/>
      </c>
    </row>
    <row r="372">
      <c r="A372" s="6">
        <f>IF(J372="","",IF(J372=J371,"",J372))</f>
        <v/>
      </c>
      <c r="B372" s="6">
        <f>IF(K372="","",IF(K372=K371,"",K372))</f>
        <v/>
      </c>
      <c r="C372" s="5">
        <f>IF(L372="","",IF(L372=L371,"",L372))</f>
        <v/>
      </c>
      <c r="D372" s="6">
        <f>IF(L372="","", SUBSTITUTE(M372," Floor","") &amp; " " &amp; CHOOSE(MIN((ROW()-1)-IFERROR(INDEX(Floors!$L$2:$L$201, MATCH(ROW()-1-0.0001, Floors!$L$2:$L$201, 1)), 0), 4), "North", "South", "East", "West"))</f>
        <v/>
      </c>
      <c r="E372" s="12" t="n"/>
      <c r="F372" s="12" t="n"/>
      <c r="G372" s="12" t="n"/>
      <c r="H372" s="16" t="n"/>
      <c r="I372" s="16" t="n"/>
      <c r="J372" s="15">
        <f>IF(ROW()-1&gt;SUM(Floors!$E$2:$E$201), "", INDEX(Floors!$F$2:$F$201, IFERROR(MATCH(ROW()-1-0.0001, Floors!$L$2:$L$201, 1), 0)+1))</f>
        <v/>
      </c>
      <c r="K372" s="15">
        <f>IF(ROW()-1&gt;SUM(Floors!$E$2:$E$201), "", INDEX(Floors!$H$2:$H$201, IFERROR(MATCH(ROW()-1-0.0001, Floors!$L$2:$L$201, 1), 0)+1))</f>
        <v/>
      </c>
      <c r="L372" s="14">
        <f>IF(ROW()-1&gt;SUM(Floors!$E$2:$E$201), "", INDEX(Floors!$D$2:$D$201, IFERROR(MATCH(ROW()-1-0.0001, Floors!$L$2:$L$201, 1), 0)+1))</f>
        <v/>
      </c>
      <c r="M372" s="15">
        <f>IF(ROW()-1&gt;SUM(Floors!$E$2:$E$201), "", INDEX(Floors!$K$2:$K$201, IFERROR(MATCH(ROW()-1-0.0001, Floors!$L$2:$L$201, 1), 0)+1))</f>
        <v/>
      </c>
    </row>
    <row r="373">
      <c r="A373" s="6">
        <f>IF(J373="","",IF(J373=J372,"",J373))</f>
        <v/>
      </c>
      <c r="B373" s="6">
        <f>IF(K373="","",IF(K373=K372,"",K373))</f>
        <v/>
      </c>
      <c r="C373" s="5">
        <f>IF(L373="","",IF(L373=L372,"",L373))</f>
        <v/>
      </c>
      <c r="D373" s="6">
        <f>IF(L373="","", SUBSTITUTE(M373," Floor","") &amp; " " &amp; CHOOSE(MIN((ROW()-1)-IFERROR(INDEX(Floors!$L$2:$L$201, MATCH(ROW()-1-0.0001, Floors!$L$2:$L$201, 1)), 0), 4), "North", "South", "East", "West"))</f>
        <v/>
      </c>
      <c r="E373" s="12" t="n"/>
      <c r="F373" s="12" t="n"/>
      <c r="G373" s="12" t="n"/>
      <c r="H373" s="16" t="n"/>
      <c r="I373" s="16" t="n"/>
      <c r="J373" s="15">
        <f>IF(ROW()-1&gt;SUM(Floors!$E$2:$E$201), "", INDEX(Floors!$F$2:$F$201, IFERROR(MATCH(ROW()-1-0.0001, Floors!$L$2:$L$201, 1), 0)+1))</f>
        <v/>
      </c>
      <c r="K373" s="15">
        <f>IF(ROW()-1&gt;SUM(Floors!$E$2:$E$201), "", INDEX(Floors!$H$2:$H$201, IFERROR(MATCH(ROW()-1-0.0001, Floors!$L$2:$L$201, 1), 0)+1))</f>
        <v/>
      </c>
      <c r="L373" s="14">
        <f>IF(ROW()-1&gt;SUM(Floors!$E$2:$E$201), "", INDEX(Floors!$D$2:$D$201, IFERROR(MATCH(ROW()-1-0.0001, Floors!$L$2:$L$201, 1), 0)+1))</f>
        <v/>
      </c>
      <c r="M373" s="15">
        <f>IF(ROW()-1&gt;SUM(Floors!$E$2:$E$201), "", INDEX(Floors!$K$2:$K$201, IFERROR(MATCH(ROW()-1-0.0001, Floors!$L$2:$L$201, 1), 0)+1))</f>
        <v/>
      </c>
    </row>
    <row r="374">
      <c r="A374" s="6">
        <f>IF(J374="","",IF(J374=J373,"",J374))</f>
        <v/>
      </c>
      <c r="B374" s="6">
        <f>IF(K374="","",IF(K374=K373,"",K374))</f>
        <v/>
      </c>
      <c r="C374" s="5">
        <f>IF(L374="","",IF(L374=L373,"",L374))</f>
        <v/>
      </c>
      <c r="D374" s="6">
        <f>IF(L374="","", SUBSTITUTE(M374," Floor","") &amp; " " &amp; CHOOSE(MIN((ROW()-1)-IFERROR(INDEX(Floors!$L$2:$L$201, MATCH(ROW()-1-0.0001, Floors!$L$2:$L$201, 1)), 0), 4), "North", "South", "East", "West"))</f>
        <v/>
      </c>
      <c r="E374" s="12" t="n"/>
      <c r="F374" s="12" t="n"/>
      <c r="G374" s="12" t="n"/>
      <c r="H374" s="16" t="n"/>
      <c r="I374" s="16" t="n"/>
      <c r="J374" s="15">
        <f>IF(ROW()-1&gt;SUM(Floors!$E$2:$E$201), "", INDEX(Floors!$F$2:$F$201, IFERROR(MATCH(ROW()-1-0.0001, Floors!$L$2:$L$201, 1), 0)+1))</f>
        <v/>
      </c>
      <c r="K374" s="15">
        <f>IF(ROW()-1&gt;SUM(Floors!$E$2:$E$201), "", INDEX(Floors!$H$2:$H$201, IFERROR(MATCH(ROW()-1-0.0001, Floors!$L$2:$L$201, 1), 0)+1))</f>
        <v/>
      </c>
      <c r="L374" s="14">
        <f>IF(ROW()-1&gt;SUM(Floors!$E$2:$E$201), "", INDEX(Floors!$D$2:$D$201, IFERROR(MATCH(ROW()-1-0.0001, Floors!$L$2:$L$201, 1), 0)+1))</f>
        <v/>
      </c>
      <c r="M374" s="15">
        <f>IF(ROW()-1&gt;SUM(Floors!$E$2:$E$201), "", INDEX(Floors!$K$2:$K$201, IFERROR(MATCH(ROW()-1-0.0001, Floors!$L$2:$L$201, 1), 0)+1))</f>
        <v/>
      </c>
    </row>
    <row r="375">
      <c r="A375" s="6">
        <f>IF(J375="","",IF(J375=J374,"",J375))</f>
        <v/>
      </c>
      <c r="B375" s="6">
        <f>IF(K375="","",IF(K375=K374,"",K375))</f>
        <v/>
      </c>
      <c r="C375" s="5">
        <f>IF(L375="","",IF(L375=L374,"",L375))</f>
        <v/>
      </c>
      <c r="D375" s="6">
        <f>IF(L375="","", SUBSTITUTE(M375," Floor","") &amp; " " &amp; CHOOSE(MIN((ROW()-1)-IFERROR(INDEX(Floors!$L$2:$L$201, MATCH(ROW()-1-0.0001, Floors!$L$2:$L$201, 1)), 0), 4), "North", "South", "East", "West"))</f>
        <v/>
      </c>
      <c r="E375" s="12" t="n"/>
      <c r="F375" s="12" t="n"/>
      <c r="G375" s="12" t="n"/>
      <c r="H375" s="16" t="n"/>
      <c r="I375" s="16" t="n"/>
      <c r="J375" s="15">
        <f>IF(ROW()-1&gt;SUM(Floors!$E$2:$E$201), "", INDEX(Floors!$F$2:$F$201, IFERROR(MATCH(ROW()-1-0.0001, Floors!$L$2:$L$201, 1), 0)+1))</f>
        <v/>
      </c>
      <c r="K375" s="15">
        <f>IF(ROW()-1&gt;SUM(Floors!$E$2:$E$201), "", INDEX(Floors!$H$2:$H$201, IFERROR(MATCH(ROW()-1-0.0001, Floors!$L$2:$L$201, 1), 0)+1))</f>
        <v/>
      </c>
      <c r="L375" s="14">
        <f>IF(ROW()-1&gt;SUM(Floors!$E$2:$E$201), "", INDEX(Floors!$D$2:$D$201, IFERROR(MATCH(ROW()-1-0.0001, Floors!$L$2:$L$201, 1), 0)+1))</f>
        <v/>
      </c>
      <c r="M375" s="15">
        <f>IF(ROW()-1&gt;SUM(Floors!$E$2:$E$201), "", INDEX(Floors!$K$2:$K$201, IFERROR(MATCH(ROW()-1-0.0001, Floors!$L$2:$L$201, 1), 0)+1))</f>
        <v/>
      </c>
    </row>
    <row r="376">
      <c r="A376" s="6">
        <f>IF(J376="","",IF(J376=J375,"",J376))</f>
        <v/>
      </c>
      <c r="B376" s="6">
        <f>IF(K376="","",IF(K376=K375,"",K376))</f>
        <v/>
      </c>
      <c r="C376" s="5">
        <f>IF(L376="","",IF(L376=L375,"",L376))</f>
        <v/>
      </c>
      <c r="D376" s="6">
        <f>IF(L376="","", SUBSTITUTE(M376," Floor","") &amp; " " &amp; CHOOSE(MIN((ROW()-1)-IFERROR(INDEX(Floors!$L$2:$L$201, MATCH(ROW()-1-0.0001, Floors!$L$2:$L$201, 1)), 0), 4), "North", "South", "East", "West"))</f>
        <v/>
      </c>
      <c r="E376" s="12" t="n"/>
      <c r="F376" s="12" t="n"/>
      <c r="G376" s="12" t="n"/>
      <c r="H376" s="16" t="n"/>
      <c r="I376" s="16" t="n"/>
      <c r="J376" s="15">
        <f>IF(ROW()-1&gt;SUM(Floors!$E$2:$E$201), "", INDEX(Floors!$F$2:$F$201, IFERROR(MATCH(ROW()-1-0.0001, Floors!$L$2:$L$201, 1), 0)+1))</f>
        <v/>
      </c>
      <c r="K376" s="15">
        <f>IF(ROW()-1&gt;SUM(Floors!$E$2:$E$201), "", INDEX(Floors!$H$2:$H$201, IFERROR(MATCH(ROW()-1-0.0001, Floors!$L$2:$L$201, 1), 0)+1))</f>
        <v/>
      </c>
      <c r="L376" s="14">
        <f>IF(ROW()-1&gt;SUM(Floors!$E$2:$E$201), "", INDEX(Floors!$D$2:$D$201, IFERROR(MATCH(ROW()-1-0.0001, Floors!$L$2:$L$201, 1), 0)+1))</f>
        <v/>
      </c>
      <c r="M376" s="15">
        <f>IF(ROW()-1&gt;SUM(Floors!$E$2:$E$201), "", INDEX(Floors!$K$2:$K$201, IFERROR(MATCH(ROW()-1-0.0001, Floors!$L$2:$L$201, 1), 0)+1))</f>
        <v/>
      </c>
    </row>
    <row r="377">
      <c r="A377" s="6">
        <f>IF(J377="","",IF(J377=J376,"",J377))</f>
        <v/>
      </c>
      <c r="B377" s="6">
        <f>IF(K377="","",IF(K377=K376,"",K377))</f>
        <v/>
      </c>
      <c r="C377" s="5">
        <f>IF(L377="","",IF(L377=L376,"",L377))</f>
        <v/>
      </c>
      <c r="D377" s="6">
        <f>IF(L377="","", SUBSTITUTE(M377," Floor","") &amp; " " &amp; CHOOSE(MIN((ROW()-1)-IFERROR(INDEX(Floors!$L$2:$L$201, MATCH(ROW()-1-0.0001, Floors!$L$2:$L$201, 1)), 0), 4), "North", "South", "East", "West"))</f>
        <v/>
      </c>
      <c r="E377" s="12" t="n"/>
      <c r="F377" s="12" t="n"/>
      <c r="G377" s="12" t="n"/>
      <c r="H377" s="16" t="n"/>
      <c r="I377" s="16" t="n"/>
      <c r="J377" s="15">
        <f>IF(ROW()-1&gt;SUM(Floors!$E$2:$E$201), "", INDEX(Floors!$F$2:$F$201, IFERROR(MATCH(ROW()-1-0.0001, Floors!$L$2:$L$201, 1), 0)+1))</f>
        <v/>
      </c>
      <c r="K377" s="15">
        <f>IF(ROW()-1&gt;SUM(Floors!$E$2:$E$201), "", INDEX(Floors!$H$2:$H$201, IFERROR(MATCH(ROW()-1-0.0001, Floors!$L$2:$L$201, 1), 0)+1))</f>
        <v/>
      </c>
      <c r="L377" s="14">
        <f>IF(ROW()-1&gt;SUM(Floors!$E$2:$E$201), "", INDEX(Floors!$D$2:$D$201, IFERROR(MATCH(ROW()-1-0.0001, Floors!$L$2:$L$201, 1), 0)+1))</f>
        <v/>
      </c>
      <c r="M377" s="15">
        <f>IF(ROW()-1&gt;SUM(Floors!$E$2:$E$201), "", INDEX(Floors!$K$2:$K$201, IFERROR(MATCH(ROW()-1-0.0001, Floors!$L$2:$L$201, 1), 0)+1))</f>
        <v/>
      </c>
    </row>
    <row r="378">
      <c r="A378" s="6">
        <f>IF(J378="","",IF(J378=J377,"",J378))</f>
        <v/>
      </c>
      <c r="B378" s="6">
        <f>IF(K378="","",IF(K378=K377,"",K378))</f>
        <v/>
      </c>
      <c r="C378" s="5">
        <f>IF(L378="","",IF(L378=L377,"",L378))</f>
        <v/>
      </c>
      <c r="D378" s="6">
        <f>IF(L378="","", SUBSTITUTE(M378," Floor","") &amp; " " &amp; CHOOSE(MIN((ROW()-1)-IFERROR(INDEX(Floors!$L$2:$L$201, MATCH(ROW()-1-0.0001, Floors!$L$2:$L$201, 1)), 0), 4), "North", "South", "East", "West"))</f>
        <v/>
      </c>
      <c r="E378" s="12" t="n"/>
      <c r="F378" s="12" t="n"/>
      <c r="G378" s="12" t="n"/>
      <c r="H378" s="16" t="n"/>
      <c r="I378" s="16" t="n"/>
      <c r="J378" s="15">
        <f>IF(ROW()-1&gt;SUM(Floors!$E$2:$E$201), "", INDEX(Floors!$F$2:$F$201, IFERROR(MATCH(ROW()-1-0.0001, Floors!$L$2:$L$201, 1), 0)+1))</f>
        <v/>
      </c>
      <c r="K378" s="15">
        <f>IF(ROW()-1&gt;SUM(Floors!$E$2:$E$201), "", INDEX(Floors!$H$2:$H$201, IFERROR(MATCH(ROW()-1-0.0001, Floors!$L$2:$L$201, 1), 0)+1))</f>
        <v/>
      </c>
      <c r="L378" s="14">
        <f>IF(ROW()-1&gt;SUM(Floors!$E$2:$E$201), "", INDEX(Floors!$D$2:$D$201, IFERROR(MATCH(ROW()-1-0.0001, Floors!$L$2:$L$201, 1), 0)+1))</f>
        <v/>
      </c>
      <c r="M378" s="15">
        <f>IF(ROW()-1&gt;SUM(Floors!$E$2:$E$201), "", INDEX(Floors!$K$2:$K$201, IFERROR(MATCH(ROW()-1-0.0001, Floors!$L$2:$L$201, 1), 0)+1))</f>
        <v/>
      </c>
    </row>
    <row r="379">
      <c r="A379" s="6">
        <f>IF(J379="","",IF(J379=J378,"",J379))</f>
        <v/>
      </c>
      <c r="B379" s="6">
        <f>IF(K379="","",IF(K379=K378,"",K379))</f>
        <v/>
      </c>
      <c r="C379" s="5">
        <f>IF(L379="","",IF(L379=L378,"",L379))</f>
        <v/>
      </c>
      <c r="D379" s="6">
        <f>IF(L379="","", SUBSTITUTE(M379," Floor","") &amp; " " &amp; CHOOSE(MIN((ROW()-1)-IFERROR(INDEX(Floors!$L$2:$L$201, MATCH(ROW()-1-0.0001, Floors!$L$2:$L$201, 1)), 0), 4), "North", "South", "East", "West"))</f>
        <v/>
      </c>
      <c r="E379" s="12" t="n"/>
      <c r="F379" s="12" t="n"/>
      <c r="G379" s="12" t="n"/>
      <c r="H379" s="16" t="n"/>
      <c r="I379" s="16" t="n"/>
      <c r="J379" s="15">
        <f>IF(ROW()-1&gt;SUM(Floors!$E$2:$E$201), "", INDEX(Floors!$F$2:$F$201, IFERROR(MATCH(ROW()-1-0.0001, Floors!$L$2:$L$201, 1), 0)+1))</f>
        <v/>
      </c>
      <c r="K379" s="15">
        <f>IF(ROW()-1&gt;SUM(Floors!$E$2:$E$201), "", INDEX(Floors!$H$2:$H$201, IFERROR(MATCH(ROW()-1-0.0001, Floors!$L$2:$L$201, 1), 0)+1))</f>
        <v/>
      </c>
      <c r="L379" s="14">
        <f>IF(ROW()-1&gt;SUM(Floors!$E$2:$E$201), "", INDEX(Floors!$D$2:$D$201, IFERROR(MATCH(ROW()-1-0.0001, Floors!$L$2:$L$201, 1), 0)+1))</f>
        <v/>
      </c>
      <c r="M379" s="15">
        <f>IF(ROW()-1&gt;SUM(Floors!$E$2:$E$201), "", INDEX(Floors!$K$2:$K$201, IFERROR(MATCH(ROW()-1-0.0001, Floors!$L$2:$L$201, 1), 0)+1))</f>
        <v/>
      </c>
    </row>
    <row r="380">
      <c r="A380" s="6">
        <f>IF(J380="","",IF(J380=J379,"",J380))</f>
        <v/>
      </c>
      <c r="B380" s="6">
        <f>IF(K380="","",IF(K380=K379,"",K380))</f>
        <v/>
      </c>
      <c r="C380" s="5">
        <f>IF(L380="","",IF(L380=L379,"",L380))</f>
        <v/>
      </c>
      <c r="D380" s="6">
        <f>IF(L380="","", SUBSTITUTE(M380," Floor","") &amp; " " &amp; CHOOSE(MIN((ROW()-1)-IFERROR(INDEX(Floors!$L$2:$L$201, MATCH(ROW()-1-0.0001, Floors!$L$2:$L$201, 1)), 0), 4), "North", "South", "East", "West"))</f>
        <v/>
      </c>
      <c r="E380" s="12" t="n"/>
      <c r="F380" s="12" t="n"/>
      <c r="G380" s="12" t="n"/>
      <c r="H380" s="16" t="n"/>
      <c r="I380" s="16" t="n"/>
      <c r="J380" s="15">
        <f>IF(ROW()-1&gt;SUM(Floors!$E$2:$E$201), "", INDEX(Floors!$F$2:$F$201, IFERROR(MATCH(ROW()-1-0.0001, Floors!$L$2:$L$201, 1), 0)+1))</f>
        <v/>
      </c>
      <c r="K380" s="15">
        <f>IF(ROW()-1&gt;SUM(Floors!$E$2:$E$201), "", INDEX(Floors!$H$2:$H$201, IFERROR(MATCH(ROW()-1-0.0001, Floors!$L$2:$L$201, 1), 0)+1))</f>
        <v/>
      </c>
      <c r="L380" s="14">
        <f>IF(ROW()-1&gt;SUM(Floors!$E$2:$E$201), "", INDEX(Floors!$D$2:$D$201, IFERROR(MATCH(ROW()-1-0.0001, Floors!$L$2:$L$201, 1), 0)+1))</f>
        <v/>
      </c>
      <c r="M380" s="15">
        <f>IF(ROW()-1&gt;SUM(Floors!$E$2:$E$201), "", INDEX(Floors!$K$2:$K$201, IFERROR(MATCH(ROW()-1-0.0001, Floors!$L$2:$L$201, 1), 0)+1))</f>
        <v/>
      </c>
    </row>
    <row r="381">
      <c r="A381" s="6">
        <f>IF(J381="","",IF(J381=J380,"",J381))</f>
        <v/>
      </c>
      <c r="B381" s="6">
        <f>IF(K381="","",IF(K381=K380,"",K381))</f>
        <v/>
      </c>
      <c r="C381" s="5">
        <f>IF(L381="","",IF(L381=L380,"",L381))</f>
        <v/>
      </c>
      <c r="D381" s="6">
        <f>IF(L381="","", SUBSTITUTE(M381," Floor","") &amp; " " &amp; CHOOSE(MIN((ROW()-1)-IFERROR(INDEX(Floors!$L$2:$L$201, MATCH(ROW()-1-0.0001, Floors!$L$2:$L$201, 1)), 0), 4), "North", "South", "East", "West"))</f>
        <v/>
      </c>
      <c r="E381" s="12" t="n"/>
      <c r="F381" s="12" t="n"/>
      <c r="G381" s="12" t="n"/>
      <c r="H381" s="16" t="n"/>
      <c r="I381" s="16" t="n"/>
      <c r="J381" s="15">
        <f>IF(ROW()-1&gt;SUM(Floors!$E$2:$E$201), "", INDEX(Floors!$F$2:$F$201, IFERROR(MATCH(ROW()-1-0.0001, Floors!$L$2:$L$201, 1), 0)+1))</f>
        <v/>
      </c>
      <c r="K381" s="15">
        <f>IF(ROW()-1&gt;SUM(Floors!$E$2:$E$201), "", INDEX(Floors!$H$2:$H$201, IFERROR(MATCH(ROW()-1-0.0001, Floors!$L$2:$L$201, 1), 0)+1))</f>
        <v/>
      </c>
      <c r="L381" s="14">
        <f>IF(ROW()-1&gt;SUM(Floors!$E$2:$E$201), "", INDEX(Floors!$D$2:$D$201, IFERROR(MATCH(ROW()-1-0.0001, Floors!$L$2:$L$201, 1), 0)+1))</f>
        <v/>
      </c>
      <c r="M381" s="15">
        <f>IF(ROW()-1&gt;SUM(Floors!$E$2:$E$201), "", INDEX(Floors!$K$2:$K$201, IFERROR(MATCH(ROW()-1-0.0001, Floors!$L$2:$L$201, 1), 0)+1))</f>
        <v/>
      </c>
    </row>
    <row r="382">
      <c r="A382" s="6">
        <f>IF(J382="","",IF(J382=J381,"",J382))</f>
        <v/>
      </c>
      <c r="B382" s="6">
        <f>IF(K382="","",IF(K382=K381,"",K382))</f>
        <v/>
      </c>
      <c r="C382" s="5">
        <f>IF(L382="","",IF(L382=L381,"",L382))</f>
        <v/>
      </c>
      <c r="D382" s="6">
        <f>IF(L382="","", SUBSTITUTE(M382," Floor","") &amp; " " &amp; CHOOSE(MIN((ROW()-1)-IFERROR(INDEX(Floors!$L$2:$L$201, MATCH(ROW()-1-0.0001, Floors!$L$2:$L$201, 1)), 0), 4), "North", "South", "East", "West"))</f>
        <v/>
      </c>
      <c r="E382" s="12" t="n"/>
      <c r="F382" s="12" t="n"/>
      <c r="G382" s="12" t="n"/>
      <c r="H382" s="16" t="n"/>
      <c r="I382" s="16" t="n"/>
      <c r="J382" s="15">
        <f>IF(ROW()-1&gt;SUM(Floors!$E$2:$E$201), "", INDEX(Floors!$F$2:$F$201, IFERROR(MATCH(ROW()-1-0.0001, Floors!$L$2:$L$201, 1), 0)+1))</f>
        <v/>
      </c>
      <c r="K382" s="15">
        <f>IF(ROW()-1&gt;SUM(Floors!$E$2:$E$201), "", INDEX(Floors!$H$2:$H$201, IFERROR(MATCH(ROW()-1-0.0001, Floors!$L$2:$L$201, 1), 0)+1))</f>
        <v/>
      </c>
      <c r="L382" s="14">
        <f>IF(ROW()-1&gt;SUM(Floors!$E$2:$E$201), "", INDEX(Floors!$D$2:$D$201, IFERROR(MATCH(ROW()-1-0.0001, Floors!$L$2:$L$201, 1), 0)+1))</f>
        <v/>
      </c>
      <c r="M382" s="15">
        <f>IF(ROW()-1&gt;SUM(Floors!$E$2:$E$201), "", INDEX(Floors!$K$2:$K$201, IFERROR(MATCH(ROW()-1-0.0001, Floors!$L$2:$L$201, 1), 0)+1))</f>
        <v/>
      </c>
    </row>
    <row r="383">
      <c r="A383" s="6">
        <f>IF(J383="","",IF(J383=J382,"",J383))</f>
        <v/>
      </c>
      <c r="B383" s="6">
        <f>IF(K383="","",IF(K383=K382,"",K383))</f>
        <v/>
      </c>
      <c r="C383" s="5">
        <f>IF(L383="","",IF(L383=L382,"",L383))</f>
        <v/>
      </c>
      <c r="D383" s="6">
        <f>IF(L383="","", SUBSTITUTE(M383," Floor","") &amp; " " &amp; CHOOSE(MIN((ROW()-1)-IFERROR(INDEX(Floors!$L$2:$L$201, MATCH(ROW()-1-0.0001, Floors!$L$2:$L$201, 1)), 0), 4), "North", "South", "East", "West"))</f>
        <v/>
      </c>
      <c r="E383" s="12" t="n"/>
      <c r="F383" s="12" t="n"/>
      <c r="G383" s="12" t="n"/>
      <c r="H383" s="16" t="n"/>
      <c r="I383" s="16" t="n"/>
      <c r="J383" s="15">
        <f>IF(ROW()-1&gt;SUM(Floors!$E$2:$E$201), "", INDEX(Floors!$F$2:$F$201, IFERROR(MATCH(ROW()-1-0.0001, Floors!$L$2:$L$201, 1), 0)+1))</f>
        <v/>
      </c>
      <c r="K383" s="15">
        <f>IF(ROW()-1&gt;SUM(Floors!$E$2:$E$201), "", INDEX(Floors!$H$2:$H$201, IFERROR(MATCH(ROW()-1-0.0001, Floors!$L$2:$L$201, 1), 0)+1))</f>
        <v/>
      </c>
      <c r="L383" s="14">
        <f>IF(ROW()-1&gt;SUM(Floors!$E$2:$E$201), "", INDEX(Floors!$D$2:$D$201, IFERROR(MATCH(ROW()-1-0.0001, Floors!$L$2:$L$201, 1), 0)+1))</f>
        <v/>
      </c>
      <c r="M383" s="15">
        <f>IF(ROW()-1&gt;SUM(Floors!$E$2:$E$201), "", INDEX(Floors!$K$2:$K$201, IFERROR(MATCH(ROW()-1-0.0001, Floors!$L$2:$L$201, 1), 0)+1))</f>
        <v/>
      </c>
    </row>
    <row r="384">
      <c r="A384" s="6">
        <f>IF(J384="","",IF(J384=J383,"",J384))</f>
        <v/>
      </c>
      <c r="B384" s="6">
        <f>IF(K384="","",IF(K384=K383,"",K384))</f>
        <v/>
      </c>
      <c r="C384" s="5">
        <f>IF(L384="","",IF(L384=L383,"",L384))</f>
        <v/>
      </c>
      <c r="D384" s="6">
        <f>IF(L384="","", SUBSTITUTE(M384," Floor","") &amp; " " &amp; CHOOSE(MIN((ROW()-1)-IFERROR(INDEX(Floors!$L$2:$L$201, MATCH(ROW()-1-0.0001, Floors!$L$2:$L$201, 1)), 0), 4), "North", "South", "East", "West"))</f>
        <v/>
      </c>
      <c r="E384" s="12" t="n"/>
      <c r="F384" s="12" t="n"/>
      <c r="G384" s="12" t="n"/>
      <c r="H384" s="16" t="n"/>
      <c r="I384" s="16" t="n"/>
      <c r="J384" s="15">
        <f>IF(ROW()-1&gt;SUM(Floors!$E$2:$E$201), "", INDEX(Floors!$F$2:$F$201, IFERROR(MATCH(ROW()-1-0.0001, Floors!$L$2:$L$201, 1), 0)+1))</f>
        <v/>
      </c>
      <c r="K384" s="15">
        <f>IF(ROW()-1&gt;SUM(Floors!$E$2:$E$201), "", INDEX(Floors!$H$2:$H$201, IFERROR(MATCH(ROW()-1-0.0001, Floors!$L$2:$L$201, 1), 0)+1))</f>
        <v/>
      </c>
      <c r="L384" s="14">
        <f>IF(ROW()-1&gt;SUM(Floors!$E$2:$E$201), "", INDEX(Floors!$D$2:$D$201, IFERROR(MATCH(ROW()-1-0.0001, Floors!$L$2:$L$201, 1), 0)+1))</f>
        <v/>
      </c>
      <c r="M384" s="15">
        <f>IF(ROW()-1&gt;SUM(Floors!$E$2:$E$201), "", INDEX(Floors!$K$2:$K$201, IFERROR(MATCH(ROW()-1-0.0001, Floors!$L$2:$L$201, 1), 0)+1))</f>
        <v/>
      </c>
    </row>
    <row r="385">
      <c r="A385" s="6">
        <f>IF(J385="","",IF(J385=J384,"",J385))</f>
        <v/>
      </c>
      <c r="B385" s="6">
        <f>IF(K385="","",IF(K385=K384,"",K385))</f>
        <v/>
      </c>
      <c r="C385" s="5">
        <f>IF(L385="","",IF(L385=L384,"",L385))</f>
        <v/>
      </c>
      <c r="D385" s="6">
        <f>IF(L385="","", SUBSTITUTE(M385," Floor","") &amp; " " &amp; CHOOSE(MIN((ROW()-1)-IFERROR(INDEX(Floors!$L$2:$L$201, MATCH(ROW()-1-0.0001, Floors!$L$2:$L$201, 1)), 0), 4), "North", "South", "East", "West"))</f>
        <v/>
      </c>
      <c r="E385" s="12" t="n"/>
      <c r="F385" s="12" t="n"/>
      <c r="G385" s="12" t="n"/>
      <c r="H385" s="16" t="n"/>
      <c r="I385" s="16" t="n"/>
      <c r="J385" s="15">
        <f>IF(ROW()-1&gt;SUM(Floors!$E$2:$E$201), "", INDEX(Floors!$F$2:$F$201, IFERROR(MATCH(ROW()-1-0.0001, Floors!$L$2:$L$201, 1), 0)+1))</f>
        <v/>
      </c>
      <c r="K385" s="15">
        <f>IF(ROW()-1&gt;SUM(Floors!$E$2:$E$201), "", INDEX(Floors!$H$2:$H$201, IFERROR(MATCH(ROW()-1-0.0001, Floors!$L$2:$L$201, 1), 0)+1))</f>
        <v/>
      </c>
      <c r="L385" s="14">
        <f>IF(ROW()-1&gt;SUM(Floors!$E$2:$E$201), "", INDEX(Floors!$D$2:$D$201, IFERROR(MATCH(ROW()-1-0.0001, Floors!$L$2:$L$201, 1), 0)+1))</f>
        <v/>
      </c>
      <c r="M385" s="15">
        <f>IF(ROW()-1&gt;SUM(Floors!$E$2:$E$201), "", INDEX(Floors!$K$2:$K$201, IFERROR(MATCH(ROW()-1-0.0001, Floors!$L$2:$L$201, 1), 0)+1))</f>
        <v/>
      </c>
    </row>
    <row r="386">
      <c r="A386" s="6">
        <f>IF(J386="","",IF(J386=J385,"",J386))</f>
        <v/>
      </c>
      <c r="B386" s="6">
        <f>IF(K386="","",IF(K386=K385,"",K386))</f>
        <v/>
      </c>
      <c r="C386" s="5">
        <f>IF(L386="","",IF(L386=L385,"",L386))</f>
        <v/>
      </c>
      <c r="D386" s="6">
        <f>IF(L386="","", SUBSTITUTE(M386," Floor","") &amp; " " &amp; CHOOSE(MIN((ROW()-1)-IFERROR(INDEX(Floors!$L$2:$L$201, MATCH(ROW()-1-0.0001, Floors!$L$2:$L$201, 1)), 0), 4), "North", "South", "East", "West"))</f>
        <v/>
      </c>
      <c r="E386" s="12" t="n"/>
      <c r="F386" s="12" t="n"/>
      <c r="G386" s="12" t="n"/>
      <c r="H386" s="16" t="n"/>
      <c r="I386" s="16" t="n"/>
      <c r="J386" s="15">
        <f>IF(ROW()-1&gt;SUM(Floors!$E$2:$E$201), "", INDEX(Floors!$F$2:$F$201, IFERROR(MATCH(ROW()-1-0.0001, Floors!$L$2:$L$201, 1), 0)+1))</f>
        <v/>
      </c>
      <c r="K386" s="15">
        <f>IF(ROW()-1&gt;SUM(Floors!$E$2:$E$201), "", INDEX(Floors!$H$2:$H$201, IFERROR(MATCH(ROW()-1-0.0001, Floors!$L$2:$L$201, 1), 0)+1))</f>
        <v/>
      </c>
      <c r="L386" s="14">
        <f>IF(ROW()-1&gt;SUM(Floors!$E$2:$E$201), "", INDEX(Floors!$D$2:$D$201, IFERROR(MATCH(ROW()-1-0.0001, Floors!$L$2:$L$201, 1), 0)+1))</f>
        <v/>
      </c>
      <c r="M386" s="15">
        <f>IF(ROW()-1&gt;SUM(Floors!$E$2:$E$201), "", INDEX(Floors!$K$2:$K$201, IFERROR(MATCH(ROW()-1-0.0001, Floors!$L$2:$L$201, 1), 0)+1))</f>
        <v/>
      </c>
    </row>
    <row r="387">
      <c r="A387" s="6">
        <f>IF(J387="","",IF(J387=J386,"",J387))</f>
        <v/>
      </c>
      <c r="B387" s="6">
        <f>IF(K387="","",IF(K387=K386,"",K387))</f>
        <v/>
      </c>
      <c r="C387" s="5">
        <f>IF(L387="","",IF(L387=L386,"",L387))</f>
        <v/>
      </c>
      <c r="D387" s="6">
        <f>IF(L387="","", SUBSTITUTE(M387," Floor","") &amp; " " &amp; CHOOSE(MIN((ROW()-1)-IFERROR(INDEX(Floors!$L$2:$L$201, MATCH(ROW()-1-0.0001, Floors!$L$2:$L$201, 1)), 0), 4), "North", "South", "East", "West"))</f>
        <v/>
      </c>
      <c r="E387" s="12" t="n"/>
      <c r="F387" s="12" t="n"/>
      <c r="G387" s="12" t="n"/>
      <c r="H387" s="16" t="n"/>
      <c r="I387" s="16" t="n"/>
      <c r="J387" s="15">
        <f>IF(ROW()-1&gt;SUM(Floors!$E$2:$E$201), "", INDEX(Floors!$F$2:$F$201, IFERROR(MATCH(ROW()-1-0.0001, Floors!$L$2:$L$201, 1), 0)+1))</f>
        <v/>
      </c>
      <c r="K387" s="15">
        <f>IF(ROW()-1&gt;SUM(Floors!$E$2:$E$201), "", INDEX(Floors!$H$2:$H$201, IFERROR(MATCH(ROW()-1-0.0001, Floors!$L$2:$L$201, 1), 0)+1))</f>
        <v/>
      </c>
      <c r="L387" s="14">
        <f>IF(ROW()-1&gt;SUM(Floors!$E$2:$E$201), "", INDEX(Floors!$D$2:$D$201, IFERROR(MATCH(ROW()-1-0.0001, Floors!$L$2:$L$201, 1), 0)+1))</f>
        <v/>
      </c>
      <c r="M387" s="15">
        <f>IF(ROW()-1&gt;SUM(Floors!$E$2:$E$201), "", INDEX(Floors!$K$2:$K$201, IFERROR(MATCH(ROW()-1-0.0001, Floors!$L$2:$L$201, 1), 0)+1))</f>
        <v/>
      </c>
    </row>
    <row r="388">
      <c r="A388" s="6">
        <f>IF(J388="","",IF(J388=J387,"",J388))</f>
        <v/>
      </c>
      <c r="B388" s="6">
        <f>IF(K388="","",IF(K388=K387,"",K388))</f>
        <v/>
      </c>
      <c r="C388" s="5">
        <f>IF(L388="","",IF(L388=L387,"",L388))</f>
        <v/>
      </c>
      <c r="D388" s="6">
        <f>IF(L388="","", SUBSTITUTE(M388," Floor","") &amp; " " &amp; CHOOSE(MIN((ROW()-1)-IFERROR(INDEX(Floors!$L$2:$L$201, MATCH(ROW()-1-0.0001, Floors!$L$2:$L$201, 1)), 0), 4), "North", "South", "East", "West"))</f>
        <v/>
      </c>
      <c r="E388" s="12" t="n"/>
      <c r="F388" s="12" t="n"/>
      <c r="G388" s="12" t="n"/>
      <c r="H388" s="16" t="n"/>
      <c r="I388" s="16" t="n"/>
      <c r="J388" s="15">
        <f>IF(ROW()-1&gt;SUM(Floors!$E$2:$E$201), "", INDEX(Floors!$F$2:$F$201, IFERROR(MATCH(ROW()-1-0.0001, Floors!$L$2:$L$201, 1), 0)+1))</f>
        <v/>
      </c>
      <c r="K388" s="15">
        <f>IF(ROW()-1&gt;SUM(Floors!$E$2:$E$201), "", INDEX(Floors!$H$2:$H$201, IFERROR(MATCH(ROW()-1-0.0001, Floors!$L$2:$L$201, 1), 0)+1))</f>
        <v/>
      </c>
      <c r="L388" s="14">
        <f>IF(ROW()-1&gt;SUM(Floors!$E$2:$E$201), "", INDEX(Floors!$D$2:$D$201, IFERROR(MATCH(ROW()-1-0.0001, Floors!$L$2:$L$201, 1), 0)+1))</f>
        <v/>
      </c>
      <c r="M388" s="15">
        <f>IF(ROW()-1&gt;SUM(Floors!$E$2:$E$201), "", INDEX(Floors!$K$2:$K$201, IFERROR(MATCH(ROW()-1-0.0001, Floors!$L$2:$L$201, 1), 0)+1))</f>
        <v/>
      </c>
    </row>
    <row r="389">
      <c r="A389" s="6">
        <f>IF(J389="","",IF(J389=J388,"",J389))</f>
        <v/>
      </c>
      <c r="B389" s="6">
        <f>IF(K389="","",IF(K389=K388,"",K389))</f>
        <v/>
      </c>
      <c r="C389" s="5">
        <f>IF(L389="","",IF(L389=L388,"",L389))</f>
        <v/>
      </c>
      <c r="D389" s="6">
        <f>IF(L389="","", SUBSTITUTE(M389," Floor","") &amp; " " &amp; CHOOSE(MIN((ROW()-1)-IFERROR(INDEX(Floors!$L$2:$L$201, MATCH(ROW()-1-0.0001, Floors!$L$2:$L$201, 1)), 0), 4), "North", "South", "East", "West"))</f>
        <v/>
      </c>
      <c r="E389" s="12" t="n"/>
      <c r="F389" s="12" t="n"/>
      <c r="G389" s="12" t="n"/>
      <c r="H389" s="16" t="n"/>
      <c r="I389" s="16" t="n"/>
      <c r="J389" s="15">
        <f>IF(ROW()-1&gt;SUM(Floors!$E$2:$E$201), "", INDEX(Floors!$F$2:$F$201, IFERROR(MATCH(ROW()-1-0.0001, Floors!$L$2:$L$201, 1), 0)+1))</f>
        <v/>
      </c>
      <c r="K389" s="15">
        <f>IF(ROW()-1&gt;SUM(Floors!$E$2:$E$201), "", INDEX(Floors!$H$2:$H$201, IFERROR(MATCH(ROW()-1-0.0001, Floors!$L$2:$L$201, 1), 0)+1))</f>
        <v/>
      </c>
      <c r="L389" s="14">
        <f>IF(ROW()-1&gt;SUM(Floors!$E$2:$E$201), "", INDEX(Floors!$D$2:$D$201, IFERROR(MATCH(ROW()-1-0.0001, Floors!$L$2:$L$201, 1), 0)+1))</f>
        <v/>
      </c>
      <c r="M389" s="15">
        <f>IF(ROW()-1&gt;SUM(Floors!$E$2:$E$201), "", INDEX(Floors!$K$2:$K$201, IFERROR(MATCH(ROW()-1-0.0001, Floors!$L$2:$L$201, 1), 0)+1))</f>
        <v/>
      </c>
    </row>
    <row r="390">
      <c r="A390" s="6">
        <f>IF(J390="","",IF(J390=J389,"",J390))</f>
        <v/>
      </c>
      <c r="B390" s="6">
        <f>IF(K390="","",IF(K390=K389,"",K390))</f>
        <v/>
      </c>
      <c r="C390" s="5">
        <f>IF(L390="","",IF(L390=L389,"",L390))</f>
        <v/>
      </c>
      <c r="D390" s="6">
        <f>IF(L390="","", SUBSTITUTE(M390," Floor","") &amp; " " &amp; CHOOSE(MIN((ROW()-1)-IFERROR(INDEX(Floors!$L$2:$L$201, MATCH(ROW()-1-0.0001, Floors!$L$2:$L$201, 1)), 0), 4), "North", "South", "East", "West"))</f>
        <v/>
      </c>
      <c r="E390" s="12" t="n"/>
      <c r="F390" s="12" t="n"/>
      <c r="G390" s="12" t="n"/>
      <c r="H390" s="16" t="n"/>
      <c r="I390" s="16" t="n"/>
      <c r="J390" s="15">
        <f>IF(ROW()-1&gt;SUM(Floors!$E$2:$E$201), "", INDEX(Floors!$F$2:$F$201, IFERROR(MATCH(ROW()-1-0.0001, Floors!$L$2:$L$201, 1), 0)+1))</f>
        <v/>
      </c>
      <c r="K390" s="15">
        <f>IF(ROW()-1&gt;SUM(Floors!$E$2:$E$201), "", INDEX(Floors!$H$2:$H$201, IFERROR(MATCH(ROW()-1-0.0001, Floors!$L$2:$L$201, 1), 0)+1))</f>
        <v/>
      </c>
      <c r="L390" s="14">
        <f>IF(ROW()-1&gt;SUM(Floors!$E$2:$E$201), "", INDEX(Floors!$D$2:$D$201, IFERROR(MATCH(ROW()-1-0.0001, Floors!$L$2:$L$201, 1), 0)+1))</f>
        <v/>
      </c>
      <c r="M390" s="15">
        <f>IF(ROW()-1&gt;SUM(Floors!$E$2:$E$201), "", INDEX(Floors!$K$2:$K$201, IFERROR(MATCH(ROW()-1-0.0001, Floors!$L$2:$L$201, 1), 0)+1))</f>
        <v/>
      </c>
    </row>
    <row r="391">
      <c r="A391" s="6">
        <f>IF(J391="","",IF(J391=J390,"",J391))</f>
        <v/>
      </c>
      <c r="B391" s="6">
        <f>IF(K391="","",IF(K391=K390,"",K391))</f>
        <v/>
      </c>
      <c r="C391" s="5">
        <f>IF(L391="","",IF(L391=L390,"",L391))</f>
        <v/>
      </c>
      <c r="D391" s="6">
        <f>IF(L391="","", SUBSTITUTE(M391," Floor","") &amp; " " &amp; CHOOSE(MIN((ROW()-1)-IFERROR(INDEX(Floors!$L$2:$L$201, MATCH(ROW()-1-0.0001, Floors!$L$2:$L$201, 1)), 0), 4), "North", "South", "East", "West"))</f>
        <v/>
      </c>
      <c r="E391" s="12" t="n"/>
      <c r="F391" s="12" t="n"/>
      <c r="G391" s="12" t="n"/>
      <c r="H391" s="16" t="n"/>
      <c r="I391" s="16" t="n"/>
      <c r="J391" s="15">
        <f>IF(ROW()-1&gt;SUM(Floors!$E$2:$E$201), "", INDEX(Floors!$F$2:$F$201, IFERROR(MATCH(ROW()-1-0.0001, Floors!$L$2:$L$201, 1), 0)+1))</f>
        <v/>
      </c>
      <c r="K391" s="15">
        <f>IF(ROW()-1&gt;SUM(Floors!$E$2:$E$201), "", INDEX(Floors!$H$2:$H$201, IFERROR(MATCH(ROW()-1-0.0001, Floors!$L$2:$L$201, 1), 0)+1))</f>
        <v/>
      </c>
      <c r="L391" s="14">
        <f>IF(ROW()-1&gt;SUM(Floors!$E$2:$E$201), "", INDEX(Floors!$D$2:$D$201, IFERROR(MATCH(ROW()-1-0.0001, Floors!$L$2:$L$201, 1), 0)+1))</f>
        <v/>
      </c>
      <c r="M391" s="15">
        <f>IF(ROW()-1&gt;SUM(Floors!$E$2:$E$201), "", INDEX(Floors!$K$2:$K$201, IFERROR(MATCH(ROW()-1-0.0001, Floors!$L$2:$L$201, 1), 0)+1))</f>
        <v/>
      </c>
    </row>
    <row r="392">
      <c r="A392" s="6">
        <f>IF(J392="","",IF(J392=J391,"",J392))</f>
        <v/>
      </c>
      <c r="B392" s="6">
        <f>IF(K392="","",IF(K392=K391,"",K392))</f>
        <v/>
      </c>
      <c r="C392" s="5">
        <f>IF(L392="","",IF(L392=L391,"",L392))</f>
        <v/>
      </c>
      <c r="D392" s="6">
        <f>IF(L392="","", SUBSTITUTE(M392," Floor","") &amp; " " &amp; CHOOSE(MIN((ROW()-1)-IFERROR(INDEX(Floors!$L$2:$L$201, MATCH(ROW()-1-0.0001, Floors!$L$2:$L$201, 1)), 0), 4), "North", "South", "East", "West"))</f>
        <v/>
      </c>
      <c r="E392" s="12" t="n"/>
      <c r="F392" s="12" t="n"/>
      <c r="G392" s="12" t="n"/>
      <c r="H392" s="16" t="n"/>
      <c r="I392" s="16" t="n"/>
      <c r="J392" s="15">
        <f>IF(ROW()-1&gt;SUM(Floors!$E$2:$E$201), "", INDEX(Floors!$F$2:$F$201, IFERROR(MATCH(ROW()-1-0.0001, Floors!$L$2:$L$201, 1), 0)+1))</f>
        <v/>
      </c>
      <c r="K392" s="15">
        <f>IF(ROW()-1&gt;SUM(Floors!$E$2:$E$201), "", INDEX(Floors!$H$2:$H$201, IFERROR(MATCH(ROW()-1-0.0001, Floors!$L$2:$L$201, 1), 0)+1))</f>
        <v/>
      </c>
      <c r="L392" s="14">
        <f>IF(ROW()-1&gt;SUM(Floors!$E$2:$E$201), "", INDEX(Floors!$D$2:$D$201, IFERROR(MATCH(ROW()-1-0.0001, Floors!$L$2:$L$201, 1), 0)+1))</f>
        <v/>
      </c>
      <c r="M392" s="15">
        <f>IF(ROW()-1&gt;SUM(Floors!$E$2:$E$201), "", INDEX(Floors!$K$2:$K$201, IFERROR(MATCH(ROW()-1-0.0001, Floors!$L$2:$L$201, 1), 0)+1))</f>
        <v/>
      </c>
    </row>
    <row r="393">
      <c r="A393" s="6">
        <f>IF(J393="","",IF(J393=J392,"",J393))</f>
        <v/>
      </c>
      <c r="B393" s="6">
        <f>IF(K393="","",IF(K393=K392,"",K393))</f>
        <v/>
      </c>
      <c r="C393" s="5">
        <f>IF(L393="","",IF(L393=L392,"",L393))</f>
        <v/>
      </c>
      <c r="D393" s="6">
        <f>IF(L393="","", SUBSTITUTE(M393," Floor","") &amp; " " &amp; CHOOSE(MIN((ROW()-1)-IFERROR(INDEX(Floors!$L$2:$L$201, MATCH(ROW()-1-0.0001, Floors!$L$2:$L$201, 1)), 0), 4), "North", "South", "East", "West"))</f>
        <v/>
      </c>
      <c r="E393" s="12" t="n"/>
      <c r="F393" s="12" t="n"/>
      <c r="G393" s="12" t="n"/>
      <c r="H393" s="16" t="n"/>
      <c r="I393" s="16" t="n"/>
      <c r="J393" s="15">
        <f>IF(ROW()-1&gt;SUM(Floors!$E$2:$E$201), "", INDEX(Floors!$F$2:$F$201, IFERROR(MATCH(ROW()-1-0.0001, Floors!$L$2:$L$201, 1), 0)+1))</f>
        <v/>
      </c>
      <c r="K393" s="15">
        <f>IF(ROW()-1&gt;SUM(Floors!$E$2:$E$201), "", INDEX(Floors!$H$2:$H$201, IFERROR(MATCH(ROW()-1-0.0001, Floors!$L$2:$L$201, 1), 0)+1))</f>
        <v/>
      </c>
      <c r="L393" s="14">
        <f>IF(ROW()-1&gt;SUM(Floors!$E$2:$E$201), "", INDEX(Floors!$D$2:$D$201, IFERROR(MATCH(ROW()-1-0.0001, Floors!$L$2:$L$201, 1), 0)+1))</f>
        <v/>
      </c>
      <c r="M393" s="15">
        <f>IF(ROW()-1&gt;SUM(Floors!$E$2:$E$201), "", INDEX(Floors!$K$2:$K$201, IFERROR(MATCH(ROW()-1-0.0001, Floors!$L$2:$L$201, 1), 0)+1))</f>
        <v/>
      </c>
    </row>
    <row r="394">
      <c r="A394" s="6">
        <f>IF(J394="","",IF(J394=J393,"",J394))</f>
        <v/>
      </c>
      <c r="B394" s="6">
        <f>IF(K394="","",IF(K394=K393,"",K394))</f>
        <v/>
      </c>
      <c r="C394" s="5">
        <f>IF(L394="","",IF(L394=L393,"",L394))</f>
        <v/>
      </c>
      <c r="D394" s="6">
        <f>IF(L394="","", SUBSTITUTE(M394," Floor","") &amp; " " &amp; CHOOSE(MIN((ROW()-1)-IFERROR(INDEX(Floors!$L$2:$L$201, MATCH(ROW()-1-0.0001, Floors!$L$2:$L$201, 1)), 0), 4), "North", "South", "East", "West"))</f>
        <v/>
      </c>
      <c r="E394" s="12" t="n"/>
      <c r="F394" s="12" t="n"/>
      <c r="G394" s="12" t="n"/>
      <c r="H394" s="16" t="n"/>
      <c r="I394" s="16" t="n"/>
      <c r="J394" s="15">
        <f>IF(ROW()-1&gt;SUM(Floors!$E$2:$E$201), "", INDEX(Floors!$F$2:$F$201, IFERROR(MATCH(ROW()-1-0.0001, Floors!$L$2:$L$201, 1), 0)+1))</f>
        <v/>
      </c>
      <c r="K394" s="15">
        <f>IF(ROW()-1&gt;SUM(Floors!$E$2:$E$201), "", INDEX(Floors!$H$2:$H$201, IFERROR(MATCH(ROW()-1-0.0001, Floors!$L$2:$L$201, 1), 0)+1))</f>
        <v/>
      </c>
      <c r="L394" s="14">
        <f>IF(ROW()-1&gt;SUM(Floors!$E$2:$E$201), "", INDEX(Floors!$D$2:$D$201, IFERROR(MATCH(ROW()-1-0.0001, Floors!$L$2:$L$201, 1), 0)+1))</f>
        <v/>
      </c>
      <c r="M394" s="15">
        <f>IF(ROW()-1&gt;SUM(Floors!$E$2:$E$201), "", INDEX(Floors!$K$2:$K$201, IFERROR(MATCH(ROW()-1-0.0001, Floors!$L$2:$L$201, 1), 0)+1))</f>
        <v/>
      </c>
    </row>
    <row r="395">
      <c r="A395" s="6">
        <f>IF(J395="","",IF(J395=J394,"",J395))</f>
        <v/>
      </c>
      <c r="B395" s="6">
        <f>IF(K395="","",IF(K395=K394,"",K395))</f>
        <v/>
      </c>
      <c r="C395" s="5">
        <f>IF(L395="","",IF(L395=L394,"",L395))</f>
        <v/>
      </c>
      <c r="D395" s="6">
        <f>IF(L395="","", SUBSTITUTE(M395," Floor","") &amp; " " &amp; CHOOSE(MIN((ROW()-1)-IFERROR(INDEX(Floors!$L$2:$L$201, MATCH(ROW()-1-0.0001, Floors!$L$2:$L$201, 1)), 0), 4), "North", "South", "East", "West"))</f>
        <v/>
      </c>
      <c r="E395" s="12" t="n"/>
      <c r="F395" s="12" t="n"/>
      <c r="G395" s="12" t="n"/>
      <c r="H395" s="16" t="n"/>
      <c r="I395" s="16" t="n"/>
      <c r="J395" s="15">
        <f>IF(ROW()-1&gt;SUM(Floors!$E$2:$E$201), "", INDEX(Floors!$F$2:$F$201, IFERROR(MATCH(ROW()-1-0.0001, Floors!$L$2:$L$201, 1), 0)+1))</f>
        <v/>
      </c>
      <c r="K395" s="15">
        <f>IF(ROW()-1&gt;SUM(Floors!$E$2:$E$201), "", INDEX(Floors!$H$2:$H$201, IFERROR(MATCH(ROW()-1-0.0001, Floors!$L$2:$L$201, 1), 0)+1))</f>
        <v/>
      </c>
      <c r="L395" s="14">
        <f>IF(ROW()-1&gt;SUM(Floors!$E$2:$E$201), "", INDEX(Floors!$D$2:$D$201, IFERROR(MATCH(ROW()-1-0.0001, Floors!$L$2:$L$201, 1), 0)+1))</f>
        <v/>
      </c>
      <c r="M395" s="15">
        <f>IF(ROW()-1&gt;SUM(Floors!$E$2:$E$201), "", INDEX(Floors!$K$2:$K$201, IFERROR(MATCH(ROW()-1-0.0001, Floors!$L$2:$L$201, 1), 0)+1))</f>
        <v/>
      </c>
    </row>
    <row r="396">
      <c r="A396" s="6">
        <f>IF(J396="","",IF(J396=J395,"",J396))</f>
        <v/>
      </c>
      <c r="B396" s="6">
        <f>IF(K396="","",IF(K396=K395,"",K396))</f>
        <v/>
      </c>
      <c r="C396" s="5">
        <f>IF(L396="","",IF(L396=L395,"",L396))</f>
        <v/>
      </c>
      <c r="D396" s="6">
        <f>IF(L396="","", SUBSTITUTE(M396," Floor","") &amp; " " &amp; CHOOSE(MIN((ROW()-1)-IFERROR(INDEX(Floors!$L$2:$L$201, MATCH(ROW()-1-0.0001, Floors!$L$2:$L$201, 1)), 0), 4), "North", "South", "East", "West"))</f>
        <v/>
      </c>
      <c r="E396" s="12" t="n"/>
      <c r="F396" s="12" t="n"/>
      <c r="G396" s="12" t="n"/>
      <c r="H396" s="16" t="n"/>
      <c r="I396" s="16" t="n"/>
      <c r="J396" s="15">
        <f>IF(ROW()-1&gt;SUM(Floors!$E$2:$E$201), "", INDEX(Floors!$F$2:$F$201, IFERROR(MATCH(ROW()-1-0.0001, Floors!$L$2:$L$201, 1), 0)+1))</f>
        <v/>
      </c>
      <c r="K396" s="15">
        <f>IF(ROW()-1&gt;SUM(Floors!$E$2:$E$201), "", INDEX(Floors!$H$2:$H$201, IFERROR(MATCH(ROW()-1-0.0001, Floors!$L$2:$L$201, 1), 0)+1))</f>
        <v/>
      </c>
      <c r="L396" s="14">
        <f>IF(ROW()-1&gt;SUM(Floors!$E$2:$E$201), "", INDEX(Floors!$D$2:$D$201, IFERROR(MATCH(ROW()-1-0.0001, Floors!$L$2:$L$201, 1), 0)+1))</f>
        <v/>
      </c>
      <c r="M396" s="15">
        <f>IF(ROW()-1&gt;SUM(Floors!$E$2:$E$201), "", INDEX(Floors!$K$2:$K$201, IFERROR(MATCH(ROW()-1-0.0001, Floors!$L$2:$L$201, 1), 0)+1))</f>
        <v/>
      </c>
    </row>
    <row r="397">
      <c r="A397" s="6">
        <f>IF(J397="","",IF(J397=J396,"",J397))</f>
        <v/>
      </c>
      <c r="B397" s="6">
        <f>IF(K397="","",IF(K397=K396,"",K397))</f>
        <v/>
      </c>
      <c r="C397" s="5">
        <f>IF(L397="","",IF(L397=L396,"",L397))</f>
        <v/>
      </c>
      <c r="D397" s="6">
        <f>IF(L397="","", SUBSTITUTE(M397," Floor","") &amp; " " &amp; CHOOSE(MIN((ROW()-1)-IFERROR(INDEX(Floors!$L$2:$L$201, MATCH(ROW()-1-0.0001, Floors!$L$2:$L$201, 1)), 0), 4), "North", "South", "East", "West"))</f>
        <v/>
      </c>
      <c r="E397" s="12" t="n"/>
      <c r="F397" s="12" t="n"/>
      <c r="G397" s="12" t="n"/>
      <c r="H397" s="16" t="n"/>
      <c r="I397" s="16" t="n"/>
      <c r="J397" s="15">
        <f>IF(ROW()-1&gt;SUM(Floors!$E$2:$E$201), "", INDEX(Floors!$F$2:$F$201, IFERROR(MATCH(ROW()-1-0.0001, Floors!$L$2:$L$201, 1), 0)+1))</f>
        <v/>
      </c>
      <c r="K397" s="15">
        <f>IF(ROW()-1&gt;SUM(Floors!$E$2:$E$201), "", INDEX(Floors!$H$2:$H$201, IFERROR(MATCH(ROW()-1-0.0001, Floors!$L$2:$L$201, 1), 0)+1))</f>
        <v/>
      </c>
      <c r="L397" s="14">
        <f>IF(ROW()-1&gt;SUM(Floors!$E$2:$E$201), "", INDEX(Floors!$D$2:$D$201, IFERROR(MATCH(ROW()-1-0.0001, Floors!$L$2:$L$201, 1), 0)+1))</f>
        <v/>
      </c>
      <c r="M397" s="15">
        <f>IF(ROW()-1&gt;SUM(Floors!$E$2:$E$201), "", INDEX(Floors!$K$2:$K$201, IFERROR(MATCH(ROW()-1-0.0001, Floors!$L$2:$L$201, 1), 0)+1))</f>
        <v/>
      </c>
    </row>
    <row r="398">
      <c r="A398" s="6">
        <f>IF(J398="","",IF(J398=J397,"",J398))</f>
        <v/>
      </c>
      <c r="B398" s="6">
        <f>IF(K398="","",IF(K398=K397,"",K398))</f>
        <v/>
      </c>
      <c r="C398" s="5">
        <f>IF(L398="","",IF(L398=L397,"",L398))</f>
        <v/>
      </c>
      <c r="D398" s="6">
        <f>IF(L398="","", SUBSTITUTE(M398," Floor","") &amp; " " &amp; CHOOSE(MIN((ROW()-1)-IFERROR(INDEX(Floors!$L$2:$L$201, MATCH(ROW()-1-0.0001, Floors!$L$2:$L$201, 1)), 0), 4), "North", "South", "East", "West"))</f>
        <v/>
      </c>
      <c r="E398" s="12" t="n"/>
      <c r="F398" s="12" t="n"/>
      <c r="G398" s="12" t="n"/>
      <c r="H398" s="16" t="n"/>
      <c r="I398" s="16" t="n"/>
      <c r="J398" s="15">
        <f>IF(ROW()-1&gt;SUM(Floors!$E$2:$E$201), "", INDEX(Floors!$F$2:$F$201, IFERROR(MATCH(ROW()-1-0.0001, Floors!$L$2:$L$201, 1), 0)+1))</f>
        <v/>
      </c>
      <c r="K398" s="15">
        <f>IF(ROW()-1&gt;SUM(Floors!$E$2:$E$201), "", INDEX(Floors!$H$2:$H$201, IFERROR(MATCH(ROW()-1-0.0001, Floors!$L$2:$L$201, 1), 0)+1))</f>
        <v/>
      </c>
      <c r="L398" s="14">
        <f>IF(ROW()-1&gt;SUM(Floors!$E$2:$E$201), "", INDEX(Floors!$D$2:$D$201, IFERROR(MATCH(ROW()-1-0.0001, Floors!$L$2:$L$201, 1), 0)+1))</f>
        <v/>
      </c>
      <c r="M398" s="15">
        <f>IF(ROW()-1&gt;SUM(Floors!$E$2:$E$201), "", INDEX(Floors!$K$2:$K$201, IFERROR(MATCH(ROW()-1-0.0001, Floors!$L$2:$L$201, 1), 0)+1))</f>
        <v/>
      </c>
    </row>
    <row r="399">
      <c r="A399" s="6">
        <f>IF(J399="","",IF(J399=J398,"",J399))</f>
        <v/>
      </c>
      <c r="B399" s="6">
        <f>IF(K399="","",IF(K399=K398,"",K399))</f>
        <v/>
      </c>
      <c r="C399" s="5">
        <f>IF(L399="","",IF(L399=L398,"",L399))</f>
        <v/>
      </c>
      <c r="D399" s="6">
        <f>IF(L399="","", SUBSTITUTE(M399," Floor","") &amp; " " &amp; CHOOSE(MIN((ROW()-1)-IFERROR(INDEX(Floors!$L$2:$L$201, MATCH(ROW()-1-0.0001, Floors!$L$2:$L$201, 1)), 0), 4), "North", "South", "East", "West"))</f>
        <v/>
      </c>
      <c r="E399" s="12" t="n"/>
      <c r="F399" s="12" t="n"/>
      <c r="G399" s="12" t="n"/>
      <c r="H399" s="16" t="n"/>
      <c r="I399" s="16" t="n"/>
      <c r="J399" s="15">
        <f>IF(ROW()-1&gt;SUM(Floors!$E$2:$E$201), "", INDEX(Floors!$F$2:$F$201, IFERROR(MATCH(ROW()-1-0.0001, Floors!$L$2:$L$201, 1), 0)+1))</f>
        <v/>
      </c>
      <c r="K399" s="15">
        <f>IF(ROW()-1&gt;SUM(Floors!$E$2:$E$201), "", INDEX(Floors!$H$2:$H$201, IFERROR(MATCH(ROW()-1-0.0001, Floors!$L$2:$L$201, 1), 0)+1))</f>
        <v/>
      </c>
      <c r="L399" s="14">
        <f>IF(ROW()-1&gt;SUM(Floors!$E$2:$E$201), "", INDEX(Floors!$D$2:$D$201, IFERROR(MATCH(ROW()-1-0.0001, Floors!$L$2:$L$201, 1), 0)+1))</f>
        <v/>
      </c>
      <c r="M399" s="15">
        <f>IF(ROW()-1&gt;SUM(Floors!$E$2:$E$201), "", INDEX(Floors!$K$2:$K$201, IFERROR(MATCH(ROW()-1-0.0001, Floors!$L$2:$L$201, 1), 0)+1))</f>
        <v/>
      </c>
    </row>
    <row r="400">
      <c r="A400" s="6">
        <f>IF(J400="","",IF(J400=J399,"",J400))</f>
        <v/>
      </c>
      <c r="B400" s="6">
        <f>IF(K400="","",IF(K400=K399,"",K400))</f>
        <v/>
      </c>
      <c r="C400" s="5">
        <f>IF(L400="","",IF(L400=L399,"",L400))</f>
        <v/>
      </c>
      <c r="D400" s="6">
        <f>IF(L400="","", SUBSTITUTE(M400," Floor","") &amp; " " &amp; CHOOSE(MIN((ROW()-1)-IFERROR(INDEX(Floors!$L$2:$L$201, MATCH(ROW()-1-0.0001, Floors!$L$2:$L$201, 1)), 0), 4), "North", "South", "East", "West"))</f>
        <v/>
      </c>
      <c r="E400" s="12" t="n"/>
      <c r="F400" s="12" t="n"/>
      <c r="G400" s="12" t="n"/>
      <c r="H400" s="16" t="n"/>
      <c r="I400" s="16" t="n"/>
      <c r="J400" s="15">
        <f>IF(ROW()-1&gt;SUM(Floors!$E$2:$E$201), "", INDEX(Floors!$F$2:$F$201, IFERROR(MATCH(ROW()-1-0.0001, Floors!$L$2:$L$201, 1), 0)+1))</f>
        <v/>
      </c>
      <c r="K400" s="15">
        <f>IF(ROW()-1&gt;SUM(Floors!$E$2:$E$201), "", INDEX(Floors!$H$2:$H$201, IFERROR(MATCH(ROW()-1-0.0001, Floors!$L$2:$L$201, 1), 0)+1))</f>
        <v/>
      </c>
      <c r="L400" s="14">
        <f>IF(ROW()-1&gt;SUM(Floors!$E$2:$E$201), "", INDEX(Floors!$D$2:$D$201, IFERROR(MATCH(ROW()-1-0.0001, Floors!$L$2:$L$201, 1), 0)+1))</f>
        <v/>
      </c>
      <c r="M400" s="15">
        <f>IF(ROW()-1&gt;SUM(Floors!$E$2:$E$201), "", INDEX(Floors!$K$2:$K$201, IFERROR(MATCH(ROW()-1-0.0001, Floors!$L$2:$L$201, 1), 0)+1))</f>
        <v/>
      </c>
    </row>
    <row r="401">
      <c r="A401" s="6">
        <f>IF(J401="","",IF(J401=J400,"",J401))</f>
        <v/>
      </c>
      <c r="B401" s="6">
        <f>IF(K401="","",IF(K401=K400,"",K401))</f>
        <v/>
      </c>
      <c r="C401" s="5">
        <f>IF(L401="","",IF(L401=L400,"",L401))</f>
        <v/>
      </c>
      <c r="D401" s="6">
        <f>IF(L401="","", SUBSTITUTE(M401," Floor","") &amp; " " &amp; CHOOSE(MIN((ROW()-1)-IFERROR(INDEX(Floors!$L$2:$L$201, MATCH(ROW()-1-0.0001, Floors!$L$2:$L$201, 1)), 0), 4), "North", "South", "East", "West"))</f>
        <v/>
      </c>
      <c r="E401" s="12" t="n"/>
      <c r="F401" s="12" t="n"/>
      <c r="G401" s="12" t="n"/>
      <c r="H401" s="16" t="n"/>
      <c r="I401" s="16" t="n"/>
      <c r="J401" s="15">
        <f>IF(ROW()-1&gt;SUM(Floors!$E$2:$E$201), "", INDEX(Floors!$F$2:$F$201, IFERROR(MATCH(ROW()-1-0.0001, Floors!$L$2:$L$201, 1), 0)+1))</f>
        <v/>
      </c>
      <c r="K401" s="15">
        <f>IF(ROW()-1&gt;SUM(Floors!$E$2:$E$201), "", INDEX(Floors!$H$2:$H$201, IFERROR(MATCH(ROW()-1-0.0001, Floors!$L$2:$L$201, 1), 0)+1))</f>
        <v/>
      </c>
      <c r="L401" s="14">
        <f>IF(ROW()-1&gt;SUM(Floors!$E$2:$E$201), "", INDEX(Floors!$D$2:$D$201, IFERROR(MATCH(ROW()-1-0.0001, Floors!$L$2:$L$201, 1), 0)+1))</f>
        <v/>
      </c>
      <c r="M401" s="15">
        <f>IF(ROW()-1&gt;SUM(Floors!$E$2:$E$201), "", INDEX(Floors!$K$2:$K$201, IFERROR(MATCH(ROW()-1-0.0001, Floors!$L$2:$L$201, 1), 0)+1))</f>
        <v/>
      </c>
    </row>
  </sheetData>
  <conditionalFormatting sqref="H2:I401">
    <cfRule type="expression" priority="1" dxfId="0">
      <formula>$G2="Yes"</formula>
    </cfRule>
    <cfRule type="expression" priority="2" dxfId="1">
      <formula>$G2&lt;&gt;"Yes"</formula>
    </cfRule>
  </conditionalFormatting>
  <dataValidations count="4">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showDropDown="0" showInputMessage="0" showErrorMessage="0" allowBlank="1" type="list">
      <formula1>"Yes,No"</formula1>
    </dataValidation>
    <dataValidation sqref="F2:F401" showDropDown="0" showInputMessage="0" showErrorMessage="1" allowBlank="1" errorTitle="Invalid HDMI Count" error="Number of Cubicals Having HDMI cannot exceed total cubicals (Excluding Meeting Room)." type="custom">
      <formula1>=F2&lt;=E2</formula1>
    </dataValidation>
    <dataValidation sqref="H2:H401" showDropDown="0" showInputMessage="0" showErrorMessage="1" allowBlank="1" errorTitle="Meeting Room Disabled" error="Meeting Room is set to 'No' or blank. Set 'Meeting Room (Yes or No)' to 'Yes' to enter meeting room cubicles." type="custom">
      <formula1>=$G2="Yes"</formula1>
    </dataValidation>
    <dataValidation sqref="I2:I401" showDropDown="0" showInputMessage="0" showErrorMessage="1" allowBlank="1" errorTitle="Invalid Meeting Room HDMI" error="Meeting Room is set to 'No', or HDMI count exceeds Meeting Room cubicle capacity." type="custom">
      <formula1>=AND($G2="Yes", I2&lt;=H2)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2026-09-03T19:30:02Z</dcterms:created>
  <dcterms:modified xmlns:dcterms="http://purl.org/dc/terms/" xmlns:xsi="http://www.w3.org/2001/XMLSchema-instance" xsi:type="dcterms:W3CDTF">2026-09-03T19:30:05Z</dcterms:modified>
</cp:coreProperties>
</file>